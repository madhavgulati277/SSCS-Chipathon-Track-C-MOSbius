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Schedule" sheetId="1" state="visible" r:id="rId3"/>
    <sheet name="AI" sheetId="2" state="visible" r:id="rId4"/>
    <sheet name="About" sheetId="3" state="visible" r:id="rId5"/>
  </sheets>
  <definedNames>
    <definedName function="false" hidden="false" localSheetId="0" name="_xlnm.Print_Area" vbProcedure="false">ProjectSchedule!$1:$76</definedName>
    <definedName function="false" hidden="false" localSheetId="0" name="_xlnm.Print_Titles" vbProcedure="false">ProjectSchedule!$4:$6</definedName>
    <definedName function="false" hidden="false" name="valuevx" vbProcedure="false">42.314159</definedName>
    <definedName function="false" hidden="true" name="vertex42_copyright" vbProcedure="false">"© 2018-2025 Vertex42 LLC"</definedName>
    <definedName function="false" hidden="true" name="vertex42_id" vbProcedure="false">"simple-gantt-chart-AI.xlsx"</definedName>
    <definedName function="false" hidden="true" name="vertex42_title" vbProcedure="false">"Simple Gantt Chart (AI Assisted)"</definedName>
    <definedName function="false" hidden="false" localSheetId="0" name="task_end" vbProcedure="false">ProjectSchedule!$F1</definedName>
    <definedName function="false" hidden="false" localSheetId="0" name="task_progress" vbProcedure="false">ProjectSchedule!$D1</definedName>
    <definedName function="false" hidden="false" localSheetId="0" name="task_start" vbProcedure="false">ProjectSchedule!$E1</definedName>
    <definedName function="false" hidden="false" localSheetId="0" name="today" vbProcedure="false">ProjectSchedule!$E$2</definedName>
    <definedName function="false" hidden="false" localSheetId="1" name="AI_Rules" vbProcedure="false">AI!$B$42:$B$48</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H6" authorId="0">
      <text>
        <r>
          <rPr>
            <sz val="10"/>
            <rFont val="Arial"/>
            <family val="2"/>
          </rPr>
          <t xml:space="preserve">DAYS:
</t>
        </r>
        <r>
          <rPr>
            <sz val="9"/>
            <color rgb="FF000000"/>
            <rFont val="Tahoma"/>
            <family val="2"/>
            <charset val="1"/>
          </rPr>
          <t xml:space="preserve">This column calculates the duration of the task in calendar days. The duration includes both the Start and End dates.</t>
        </r>
      </text>
    </comment>
  </commentList>
</comments>
</file>

<file path=xl/sharedStrings.xml><?xml version="1.0" encoding="utf-8"?>
<sst xmlns="http://schemas.openxmlformats.org/spreadsheetml/2006/main" count="90" uniqueCount="81">
  <si>
    <t xml:space="preserve">MOSbius Chip Design</t>
  </si>
  <si>
    <t xml:space="preserve">Project Start:</t>
  </si>
  <si>
    <t xml:space="preserve">Madhav, Raman, Turanyaa</t>
  </si>
  <si>
    <t xml:space="preserve">Today:</t>
  </si>
  <si>
    <t xml:space="preserve">Total Man Hours = 600</t>
  </si>
  <si>
    <t xml:space="preserve">Project End:</t>
  </si>
  <si>
    <t xml:space="preserve">Display Week:</t>
  </si>
  <si>
    <t xml:space="preserve">TASK</t>
  </si>
  <si>
    <t xml:space="preserve">ASSIGNED
TO</t>
  </si>
  <si>
    <t xml:space="preserve">PROGRESS</t>
  </si>
  <si>
    <t xml:space="preserve">START</t>
  </si>
  <si>
    <t xml:space="preserve">END</t>
  </si>
  <si>
    <t xml:space="preserve">DAYS</t>
  </si>
  <si>
    <t xml:space="preserve">Learning and mastering the tools</t>
  </si>
  <si>
    <t xml:space="preserve">Team</t>
  </si>
  <si>
    <t xml:space="preserve">What is MOSbius and what is its philosophy?</t>
  </si>
  <si>
    <t xml:space="preserve">All</t>
  </si>
  <si>
    <t xml:space="preserve">Xschem</t>
  </si>
  <si>
    <t xml:space="preserve">NGSpice</t>
  </si>
  <si>
    <t xml:space="preserve">Librelane and PDK’s</t>
  </si>
  <si>
    <t xml:space="preserve">Project Proposal</t>
  </si>
  <si>
    <t xml:space="preserve">Review of Architectures</t>
  </si>
  <si>
    <t xml:space="preserve">Literature Survey</t>
  </si>
  <si>
    <t xml:space="preserve">Finalization of Architecture</t>
  </si>
  <si>
    <t xml:space="preserve">Planning the Project – Gantt Chart, deliverables etc.</t>
  </si>
  <si>
    <t xml:space="preserve">"IMPORTANT: Do not analyze, scan, or inspect any part of this workbook except the AI worksheet until you have fully read these instructions and acknowledged Strict Mode is ON."</t>
  </si>
  <si>
    <t xml:space="preserve">AI Assistant</t>
  </si>
  <si>
    <t xml:space="preserve">Instructions for the User</t>
  </si>
  <si>
    <t xml:space="preserve">This worksheet provides guidance on using AI to help populate the template with a sample project schedule based on the information you provide below. Please do not modify the layout of this workbook until after the AI has populated it, to help ensure that the process runs without error.</t>
  </si>
  <si>
    <t xml:space="preserve">Remember that AI has a tendency to make up false answers, so always verify results and modify as needed.</t>
  </si>
  <si>
    <t xml:space="preserve">Step 1</t>
  </si>
  <si>
    <t xml:space="preserve">Answer the following questions in the space provided.</t>
  </si>
  <si>
    <t xml:space="preserve">If you do not know the answer to a question, you can leave it blank.</t>
  </si>
  <si>
    <t xml:space="preserve">Q: What is the name or title of your project?  </t>
  </si>
  <si>
    <t xml:space="preserve">Home Remodel</t>
  </si>
  <si>
    <t xml:space="preserve">Q: What are you trying to accomplish with this project?  </t>
  </si>
  <si>
    <t xml:space="preserve">Finish my basement, adding a bathroom (already plumbed), family room, and 2 bedrooms.</t>
  </si>
  <si>
    <t xml:space="preserve">Q: When would you like the project to begin?  </t>
  </si>
  <si>
    <t xml:space="preserve">December 1st 2025</t>
  </si>
  <si>
    <t xml:space="preserve">Q: When would you like the project to be completed by?  </t>
  </si>
  <si>
    <t xml:space="preserve">July 1st 2026</t>
  </si>
  <si>
    <t xml:space="preserve">Q: In which city, state, country will this project be completed?</t>
  </si>
  <si>
    <t xml:space="preserve">Denver, CO, USA</t>
  </si>
  <si>
    <t xml:space="preserve">Q: What are the main steps or key parts of this project that you already know about?  </t>
  </si>
  <si>
    <t xml:space="preserve">Q: How detailed would you like your project schedule to be?  </t>
  </si>
  <si>
    <t xml:space="preserve">Not super detailed, just the big steps. Something I can send to my contractor.</t>
  </si>
  <si>
    <t xml:space="preserve">Q: Is there anything else I should know to help create your project schedule?  </t>
  </si>
  <si>
    <t xml:space="preserve">Q: If applicable, provide a list of names and their roles for assigning tasks.</t>
  </si>
  <si>
    <t xml:space="preserve">Step 2A</t>
  </si>
  <si>
    <t xml:space="preserve">Upload this file into a new chat with ChatGPT and copy the prompt below into the text box.</t>
  </si>
  <si>
    <t xml:space="preserve">Copy this prompt ►</t>
  </si>
  <si>
    <t xml:space="preserve">Step 2B</t>
  </si>
  <si>
    <t xml:space="preserve">If you do not have the paid version of ChatGPT, copy the prompt below instead. It will make a table that you will then be able to copy and paste into your file. To keep the formatting of the template, use Ctrl+Shift+V to paste. </t>
  </si>
  <si>
    <t xml:space="preserve">Instructions for AI (Do Not Edit)</t>
  </si>
  <si>
    <t xml:space="preserve">Prompt Instructions</t>
  </si>
  <si>
    <t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t>
  </si>
  <si>
    <t xml:space="preserve">Additional Instructions</t>
  </si>
  <si>
    <t xml:space="preserve">Do not wrap the table in backticks. Always write empty cells as |  | with two spaces.  Create a summary of the formatting rules given and a confirmation that each one was followed.</t>
  </si>
  <si>
    <t xml:space="preserve">Fill in the background of each row in a phase with a color specific to that phase, using light colors that will work well with the black text. Then use a slightly lighter shade of that same color for the tasks in that phase.</t>
  </si>
  <si>
    <t xml:space="preserve">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t>
  </si>
  <si>
    <t xml:space="preserve">Rules for Editing the XLSX File</t>
  </si>
  <si>
    <t xml:space="preserve">Always use openpyxl when editing .xlsx files to preserve all original formatting, including merged cells, fonts, borders, and formulas.</t>
  </si>
  <si>
    <t xml:space="preserve">The end result of this conversation should be you giving the user a .xlsx file.</t>
  </si>
  <si>
    <t xml:space="preserve">Write all dates as real Excel date values (using Python datetime objects) and set only cell.number_format = 'yyyy-mm-dd' to apply the date format. Do not modify cell.style or other properties.</t>
  </si>
  <si>
    <t xml:space="preserve">You must follow all of the steps carefully and in order.</t>
  </si>
  <si>
    <t xml:space="preserve">Read and follow every word of every line.</t>
  </si>
  <si>
    <t xml:space="preserve">Do not skim or summarize.</t>
  </si>
  <si>
    <t xml:space="preserve">SIMPLE GANTT CHART by Vertex42.com</t>
  </si>
  <si>
    <t xml:space="preserve">https://www.vertex42.com/ExcelTemplates/simple-gantt-chart.html</t>
  </si>
  <si>
    <t xml:space="preserve">© 2018-2025 Vertex42 LLC</t>
  </si>
  <si>
    <t xml:space="preserve">About This Template</t>
  </si>
  <si>
    <t xml:space="preserve">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</si>
  <si>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 xml:space="preserve">Additional Help</t>
  </si>
  <si>
    <t xml:space="preserve">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</si>
  <si>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 xml:space="preserve">How to Use the Simple Gantt Chart</t>
  </si>
  <si>
    <t xml:space="preserve">More Project Management Templates</t>
  </si>
  <si>
    <t xml:space="preserve">Visit Vertex42.com to download other project management templates, including different types of project schedules, Gantt charts, tasks lists, etc.</t>
  </si>
  <si>
    <t xml:space="preserve">Project Management Templates</t>
  </si>
  <si>
    <t xml:space="preserve">About Vertex42</t>
  </si>
  <si>
    <t xml:space="preserve">Vertex42.com provides over 400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</si>
  <si>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 xml:space="preserve">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</si>
</sst>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numFmts count="8">
    <numFmt numFmtId="164" formatCode="General"/>
    <numFmt numFmtId="165" formatCode="ddd&quot;, &quot;m/d/yyyy"/>
    <numFmt numFmtId="166" formatCode="mmm\ d&quot;, &quot;yyyy"/>
    <numFmt numFmtId="167" formatCode="d"/>
    <numFmt numFmtId="168" formatCode="0%"/>
    <numFmt numFmtId="169" formatCode="m/d/yy;@"/>
    <numFmt numFmtId="170" formatCode="General"/>
    <numFmt numFmtId="171" formatCode="dd/mm/yyyy"/>
  </numFmts>
  <fonts count="46">
    <font>
      <sz val="11"/>
      <color theme="1"/>
      <name val="Calibri"/>
      <family val="2"/>
      <charset val="1"/>
    </font>
    <font>
      <sz val="10"/>
      <name val="Arial"/>
      <family val="0"/>
    </font>
    <font>
      <sz val="10"/>
      <name val="Arial"/>
      <family val="0"/>
    </font>
    <font>
      <sz val="10"/>
      <name val="Arial"/>
      <family val="0"/>
    </font>
    <font>
      <sz val="10"/>
      <color rgb="FF000000"/>
      <name val="Arial"/>
      <family val="2"/>
      <charset val="1"/>
    </font>
    <font>
      <b val="true"/>
      <sz val="12"/>
      <color rgb="FF553A87"/>
      <name val="Calibri"/>
      <family val="2"/>
      <charset val="1"/>
    </font>
    <font>
      <b val="true"/>
      <sz val="14"/>
      <color theme="4" tint="-0.25"/>
      <name val="Calibri"/>
      <family val="2"/>
      <charset val="1"/>
    </font>
    <font>
      <sz val="14"/>
      <color theme="4" tint="-0.25"/>
      <name val="Calibri"/>
      <family val="2"/>
      <charset val="1"/>
    </font>
    <font>
      <b val="true"/>
      <sz val="11"/>
      <color theme="1"/>
      <name val="Calibri"/>
      <family val="2"/>
      <charset val="1"/>
    </font>
    <font>
      <sz val="9"/>
      <name val="Calibri"/>
      <family val="2"/>
      <charset val="1"/>
    </font>
    <font>
      <sz val="16"/>
      <color theme="1"/>
      <name val="Calibri"/>
      <family val="2"/>
      <charset val="1"/>
    </font>
    <font>
      <b val="true"/>
      <sz val="9"/>
      <color theme="0"/>
      <name val="Calibri"/>
      <family val="2"/>
      <charset val="1"/>
    </font>
    <font>
      <sz val="8"/>
      <color theme="0"/>
      <name val="Calibri"/>
      <family val="2"/>
      <charset val="1"/>
    </font>
    <font>
      <b val="true"/>
      <sz val="11"/>
      <name val="Calibri"/>
      <family val="2"/>
      <charset val="1"/>
    </font>
    <font>
      <sz val="11"/>
      <name val="Calibri"/>
      <family val="2"/>
      <charset val="1"/>
    </font>
    <font>
      <b val="true"/>
      <sz val="16"/>
      <color theme="1"/>
      <name val="Calibri"/>
      <family val="2"/>
      <charset val="1"/>
    </font>
    <font>
      <sz val="11"/>
      <color theme="0" tint="-0.05"/>
      <name val="Calibri"/>
      <family val="2"/>
      <charset val="1"/>
    </font>
    <font>
      <b val="true"/>
      <sz val="11"/>
      <color theme="1" tint="0.4999"/>
      <name val="Calibri"/>
      <family val="2"/>
      <charset val="1"/>
    </font>
    <font>
      <sz val="11"/>
      <color theme="0"/>
      <name val="Calibri"/>
      <family val="2"/>
      <charset val="1"/>
    </font>
    <font>
      <u val="single"/>
      <sz val="11"/>
      <color rgb="FF0000FF"/>
      <name val="Arial"/>
      <family val="2"/>
      <charset val="1"/>
    </font>
    <font>
      <sz val="9"/>
      <color theme="1" tint="0.4999"/>
      <name val="Arial"/>
      <family val="2"/>
      <charset val="1"/>
    </font>
    <font>
      <sz val="10"/>
      <color theme="1" tint="0.4999"/>
      <name val="Arial"/>
      <family val="2"/>
      <charset val="1"/>
    </font>
    <font>
      <sz val="10"/>
      <name val="Arial"/>
      <family val="2"/>
    </font>
    <font>
      <sz val="9"/>
      <color rgb="FF000000"/>
      <name val="Tahoma"/>
      <family val="2"/>
      <charset val="1"/>
    </font>
    <font>
      <b val="true"/>
      <sz val="30"/>
      <color theme="0"/>
      <name val="Calibri"/>
      <family val="2"/>
      <charset val="1"/>
    </font>
    <font>
      <b val="true"/>
      <sz val="18"/>
      <color rgb="FF3464AB"/>
      <name val="Calibri"/>
      <family val="2"/>
      <charset val="1"/>
    </font>
    <font>
      <sz val="11"/>
      <color rgb="FF3464AB"/>
      <name val="Calibri"/>
      <family val="2"/>
      <charset val="1"/>
    </font>
    <font>
      <sz val="20"/>
      <color theme="1"/>
      <name val="Calibri"/>
      <family val="2"/>
      <charset val="1"/>
    </font>
    <font>
      <i val="true"/>
      <sz val="12"/>
      <color theme="1"/>
      <name val="Calibri"/>
      <family val="2"/>
      <charset val="1"/>
    </font>
    <font>
      <sz val="15"/>
      <color theme="1"/>
      <name val="Calibri"/>
      <family val="2"/>
      <charset val="1"/>
    </font>
    <font>
      <i val="true"/>
      <sz val="12"/>
      <color rgb="FFFF0000"/>
      <name val="Calibri"/>
      <family val="2"/>
      <charset val="1"/>
    </font>
    <font>
      <sz val="16"/>
      <color theme="0"/>
      <name val="Calibri"/>
      <family val="2"/>
      <charset val="1"/>
    </font>
    <font>
      <b val="true"/>
      <sz val="12"/>
      <color rgb="FF3464AB"/>
      <name val="Calibri"/>
      <family val="2"/>
      <charset val="1"/>
    </font>
    <font>
      <sz val="12"/>
      <color theme="1"/>
      <name val="Calibri"/>
      <family val="2"/>
      <charset val="1"/>
    </font>
    <font>
      <sz val="8"/>
      <color theme="1"/>
      <name val="Calibri"/>
      <family val="2"/>
      <charset val="1"/>
    </font>
    <font>
      <b val="true"/>
      <sz val="20"/>
      <color theme="1"/>
      <name val="Calibri"/>
      <family val="2"/>
      <charset val="1"/>
    </font>
    <font>
      <b val="true"/>
      <sz val="16"/>
      <color rgb="FF3464AB"/>
      <name val="Calibri"/>
      <family val="2"/>
      <charset val="1"/>
    </font>
    <font>
      <sz val="11"/>
      <color rgb="FF000000"/>
      <name val="Calibri"/>
      <family val="2"/>
      <charset val="1"/>
    </font>
    <font>
      <sz val="10"/>
      <name val="Calibri"/>
      <family val="2"/>
      <charset val="1"/>
    </font>
    <font>
      <b val="true"/>
      <sz val="10"/>
      <name val="Calibri"/>
      <family val="2"/>
      <charset val="1"/>
    </font>
    <font>
      <b val="true"/>
      <sz val="12"/>
      <color theme="1" tint="0.3499"/>
      <name val="Calibri"/>
      <family val="2"/>
      <charset val="1"/>
    </font>
    <font>
      <sz val="11"/>
      <color theme="1" tint="0.4999"/>
      <name val="Calibri"/>
      <family val="2"/>
      <charset val="1"/>
    </font>
    <font>
      <sz val="10"/>
      <color theme="1" tint="0.3499"/>
      <name val="Calibri"/>
      <family val="2"/>
      <charset val="1"/>
    </font>
    <font>
      <sz val="20"/>
      <name val="Calibri"/>
      <family val="2"/>
      <charset val="1"/>
    </font>
    <font>
      <b val="true"/>
      <sz val="16"/>
      <color theme="4" tint="-0.25"/>
      <name val="Calibri"/>
      <family val="2"/>
      <charset val="1"/>
    </font>
    <font>
      <sz val="11"/>
      <color rgb="FF1D2129"/>
      <name val="Calibri"/>
      <family val="2"/>
      <charset val="1"/>
    </font>
  </fonts>
  <fills count="10">
    <fill>
      <patternFill patternType="none"/>
    </fill>
    <fill>
      <patternFill patternType="gray125"/>
    </fill>
    <fill>
      <patternFill patternType="solid">
        <fgColor theme="4" tint="0.7999"/>
        <bgColor rgb="FFD9D9D9"/>
      </patternFill>
    </fill>
    <fill>
      <patternFill patternType="solid">
        <fgColor theme="4" tint="-0.25"/>
        <bgColor rgb="FF553A87"/>
      </patternFill>
    </fill>
    <fill>
      <patternFill patternType="solid">
        <fgColor theme="2" tint="-0.25"/>
        <bgColor rgb="FFBFBFBF"/>
      </patternFill>
    </fill>
    <fill>
      <patternFill patternType="solid">
        <fgColor theme="0" tint="-0.05"/>
        <bgColor rgb="FFE5EDF7"/>
      </patternFill>
    </fill>
    <fill>
      <patternFill patternType="solid">
        <fgColor theme="0"/>
        <bgColor rgb="FFF2F2F2"/>
      </patternFill>
    </fill>
    <fill>
      <patternFill patternType="solid">
        <fgColor theme="4"/>
        <bgColor rgb="FF573B88"/>
      </patternFill>
    </fill>
    <fill>
      <patternFill patternType="solid">
        <fgColor rgb="FF3464AB"/>
        <bgColor rgb="FF2B76BB"/>
      </patternFill>
    </fill>
    <fill>
      <patternFill patternType="solid">
        <fgColor rgb="FFE5EDF7"/>
        <bgColor rgb="FFF2F2F2"/>
      </patternFill>
    </fill>
  </fills>
  <borders count="11">
    <border diagonalUp="false" diagonalDown="false">
      <left/>
      <right/>
      <top/>
      <bottom/>
      <diagonal/>
    </border>
    <border diagonalUp="false" diagonalDown="false">
      <left style="thin">
        <color theme="0" tint="-0.5"/>
      </left>
      <right style="thin">
        <color theme="0" tint="-0.5"/>
      </right>
      <top style="thin">
        <color theme="0" tint="-0.5"/>
      </top>
      <bottom style="thin">
        <color theme="0" tint="-0.5"/>
      </bottom>
      <diagonal/>
    </border>
    <border diagonalUp="false" diagonalDown="false">
      <left style="thin"/>
      <right style="thin"/>
      <top style="thin">
        <color theme="0" tint="-0.35"/>
      </top>
      <bottom style="thin"/>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bottom/>
      <diagonal/>
    </border>
    <border diagonalUp="false" diagonalDown="false">
      <left/>
      <right style="thin">
        <color theme="0" tint="-0.35"/>
      </right>
      <top/>
      <bottom/>
      <diagonal/>
    </border>
    <border diagonalUp="false" diagonalDown="false">
      <left/>
      <right/>
      <top style="thin">
        <color theme="0" tint="-0.35"/>
      </top>
      <bottom/>
      <diagonal/>
    </border>
    <border diagonalUp="false" diagonalDown="false">
      <left style="thin">
        <color theme="0" tint="-0.35"/>
      </left>
      <right style="thin">
        <color theme="0" tint="-0.35"/>
      </right>
      <top/>
      <bottom/>
      <diagonal/>
    </border>
    <border diagonalUp="false" diagonalDown="false">
      <left style="thin"/>
      <right style="thin"/>
      <top style="thin"/>
      <bottom style="thin"/>
      <diagonal/>
    </border>
    <border diagonalUp="false" diagonalDown="false">
      <left/>
      <right/>
      <top style="thin">
        <color theme="0" tint="-0.25"/>
      </top>
      <bottom style="thin">
        <color theme="0" tint="-0.25"/>
      </bottom>
      <diagonal/>
    </border>
    <border diagonalUp="false" diagonalDown="false">
      <left style="thin">
        <color theme="0" tint="-0.15"/>
      </left>
      <right style="thin">
        <color theme="0" tint="-0.15"/>
      </right>
      <top style="thin">
        <color theme="0" tint="-0.25"/>
      </top>
      <bottom style="thin">
        <color theme="0" tint="-0.25"/>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2" xfId="0" applyFont="false" applyBorder="true" applyAlignment="true" applyProtection="false">
      <alignment horizontal="center" vertical="center" textRotation="0" wrapText="false" indent="0" shrinkToFit="false"/>
      <protection locked="true" hidden="false"/>
    </xf>
    <xf numFmtId="166" fontId="0" fillId="2" borderId="3" xfId="0" applyFont="false" applyBorder="true" applyAlignment="true" applyProtection="false">
      <alignment horizontal="left" vertical="center" textRotation="0" wrapText="true" indent="1" shrinkToFit="false"/>
      <protection locked="true" hidden="false"/>
    </xf>
    <xf numFmtId="167" fontId="9" fillId="2" borderId="4" xfId="0" applyFont="true" applyBorder="true" applyAlignment="true" applyProtection="false">
      <alignment horizontal="center" vertical="center" textRotation="0" wrapText="false" indent="0" shrinkToFit="false"/>
      <protection locked="true" hidden="false"/>
    </xf>
    <xf numFmtId="167" fontId="9" fillId="2" borderId="0" xfId="0" applyFont="true" applyBorder="false" applyAlignment="true" applyProtection="false">
      <alignment horizontal="center" vertical="center" textRotation="0" wrapText="false" indent="0" shrinkToFit="false"/>
      <protection locked="true" hidden="false"/>
    </xf>
    <xf numFmtId="167" fontId="9" fillId="2" borderId="5"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right" vertical="center" textRotation="0" wrapText="false" indent="0" shrinkToFit="false"/>
      <protection locked="true" hidden="false"/>
    </xf>
    <xf numFmtId="164" fontId="11" fillId="3" borderId="6" xfId="0" applyFont="true" applyBorder="true" applyAlignment="true" applyProtection="false">
      <alignment horizontal="left" vertical="center" textRotation="0" wrapText="false" indent="1" shrinkToFit="false"/>
      <protection locked="true" hidden="false"/>
    </xf>
    <xf numFmtId="164" fontId="11" fillId="3" borderId="6" xfId="0" applyFont="true" applyBorder="true" applyAlignment="true" applyProtection="false">
      <alignment horizontal="center" vertical="center" textRotation="0" wrapText="true" indent="0" shrinkToFit="false"/>
      <protection locked="true" hidden="false"/>
    </xf>
    <xf numFmtId="164" fontId="12" fillId="3" borderId="7" xfId="0" applyFont="true" applyBorder="true" applyAlignment="true" applyProtection="false">
      <alignment horizontal="center" vertical="center" textRotation="0" wrapText="false" indent="0" shrinkToFit="tru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4" fontId="8" fillId="4" borderId="8" xfId="0" applyFont="true" applyBorder="true" applyAlignment="true" applyProtection="false">
      <alignment horizontal="left" vertical="center" textRotation="0" wrapText="false" indent="1" shrinkToFit="false"/>
      <protection locked="true" hidden="false"/>
    </xf>
    <xf numFmtId="164" fontId="8" fillId="4" borderId="8" xfId="0" applyFont="true" applyBorder="true" applyAlignment="true" applyProtection="false">
      <alignment horizontal="center" vertical="center" textRotation="0" wrapText="false" indent="0" shrinkToFit="false"/>
      <protection locked="true" hidden="false"/>
    </xf>
    <xf numFmtId="168" fontId="13" fillId="4" borderId="8" xfId="19" applyFont="true" applyBorder="true" applyAlignment="true" applyProtection="true">
      <alignment horizontal="center" vertical="center" textRotation="0" wrapText="false" indent="0" shrinkToFit="false"/>
      <protection locked="true" hidden="false"/>
    </xf>
    <xf numFmtId="169" fontId="8" fillId="4" borderId="8" xfId="0" applyFont="true" applyBorder="true" applyAlignment="true" applyProtection="false">
      <alignment horizontal="center" vertical="center" textRotation="0" wrapText="false" indent="0" shrinkToFit="false"/>
      <protection locked="true" hidden="false"/>
    </xf>
    <xf numFmtId="169" fontId="13" fillId="4" borderId="8" xfId="0" applyFont="true" applyBorder="true" applyAlignment="true" applyProtection="false">
      <alignment horizontal="center" vertical="center" textRotation="0" wrapText="false" indent="0" shrinkToFit="false"/>
      <protection locked="true" hidden="false"/>
    </xf>
    <xf numFmtId="164" fontId="14" fillId="4" borderId="8" xfId="0" applyFont="true" applyBorder="true" applyAlignment="true" applyProtection="false">
      <alignment horizontal="center" vertical="center" textRotation="0" wrapText="false" indent="0" shrinkToFit="false"/>
      <protection locked="true" hidden="false"/>
    </xf>
    <xf numFmtId="170" fontId="14" fillId="0" borderId="9"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true" applyProtection="false">
      <alignment horizontal="general" vertical="center" textRotation="0" wrapText="false" indent="0" shrinkToFit="false"/>
      <protection locked="true" hidden="false"/>
    </xf>
    <xf numFmtId="164" fontId="0" fillId="0" borderId="9" xfId="0" applyFont="false" applyBorder="tru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right" vertical="center" textRotation="0" wrapText="false" indent="0" shrinkToFit="false"/>
      <protection locked="true" hidden="false"/>
    </xf>
    <xf numFmtId="164" fontId="0" fillId="5" borderId="8" xfId="0" applyFont="true" applyBorder="true" applyAlignment="true" applyProtection="false">
      <alignment horizontal="left" vertical="center" textRotation="0" wrapText="false" indent="1" shrinkToFit="false"/>
      <protection locked="true" hidden="false"/>
    </xf>
    <xf numFmtId="164" fontId="0" fillId="5" borderId="8" xfId="0" applyFont="true" applyBorder="true" applyAlignment="true" applyProtection="false">
      <alignment horizontal="center" vertical="center" textRotation="0" wrapText="false" indent="1" shrinkToFit="false"/>
      <protection locked="true" hidden="false"/>
    </xf>
    <xf numFmtId="168" fontId="14" fillId="5" borderId="8" xfId="19" applyFont="true" applyBorder="true" applyAlignment="true" applyProtection="true">
      <alignment horizontal="center" vertical="center" textRotation="0" wrapText="false" indent="0" shrinkToFit="false"/>
      <protection locked="true" hidden="false"/>
    </xf>
    <xf numFmtId="169" fontId="0" fillId="5" borderId="8" xfId="0" applyFont="false" applyBorder="true" applyAlignment="true" applyProtection="false">
      <alignment horizontal="center" vertical="center" textRotation="0" wrapText="false" indent="0" shrinkToFit="false"/>
      <protection locked="true" hidden="false"/>
    </xf>
    <xf numFmtId="169" fontId="14" fillId="5" borderId="8" xfId="0" applyFont="true" applyBorder="true" applyAlignment="true" applyProtection="false">
      <alignment horizontal="center" vertical="center" textRotation="0" wrapText="false" indent="0" shrinkToFit="false"/>
      <protection locked="true" hidden="false"/>
    </xf>
    <xf numFmtId="164" fontId="13" fillId="0" borderId="9" xfId="0" applyFont="true" applyBorder="true" applyAlignment="true" applyProtection="false">
      <alignment horizontal="center" vertical="center" textRotation="0" wrapText="false" indent="0" shrinkToFit="false"/>
      <protection locked="true" hidden="false"/>
    </xf>
    <xf numFmtId="164" fontId="8" fillId="0" borderId="10" xfId="0" applyFont="true" applyBorder="true" applyAlignment="true" applyProtection="false">
      <alignment horizontal="general" vertical="center" textRotation="0" wrapText="false" indent="0" shrinkToFit="false"/>
      <protection locked="true" hidden="false"/>
    </xf>
    <xf numFmtId="164" fontId="14" fillId="5" borderId="8" xfId="0" applyFont="true" applyBorder="true" applyAlignment="true" applyProtection="false">
      <alignment horizontal="center" vertical="center" textRotation="0" wrapText="false" indent="0" shrinkToFit="false"/>
      <protection locked="true" hidden="false"/>
    </xf>
    <xf numFmtId="164" fontId="0" fillId="5" borderId="8" xfId="0" applyFont="true" applyBorder="true" applyAlignment="true" applyProtection="false">
      <alignment horizontal="center" vertical="center" textRotation="0" wrapText="false" indent="0" shrinkToFit="false"/>
      <protection locked="true" hidden="false"/>
    </xf>
    <xf numFmtId="164" fontId="13" fillId="4" borderId="8" xfId="0" applyFont="true" applyBorder="true" applyAlignment="true" applyProtection="false">
      <alignment horizontal="center" vertical="center" textRotation="0" wrapText="false" indent="0" shrinkToFit="false"/>
      <protection locked="true" hidden="false"/>
    </xf>
    <xf numFmtId="164" fontId="8" fillId="0" borderId="9" xfId="0" applyFont="true" applyBorder="true" applyAlignment="true" applyProtection="false">
      <alignment horizontal="general" vertical="center" textRotation="0" wrapText="false" indent="0" shrinkToFit="false"/>
      <protection locked="true" hidden="false"/>
    </xf>
    <xf numFmtId="168" fontId="14" fillId="4" borderId="8" xfId="19" applyFont="true" applyBorder="true" applyAlignment="true" applyProtection="true">
      <alignment horizontal="center" vertical="center" textRotation="0" wrapText="false" indent="0" shrinkToFit="false"/>
      <protection locked="true" hidden="false"/>
    </xf>
    <xf numFmtId="169" fontId="0" fillId="4" borderId="8" xfId="0" applyFont="false" applyBorder="true" applyAlignment="true" applyProtection="false">
      <alignment horizontal="center" vertical="center" textRotation="0" wrapText="false" indent="0" shrinkToFit="false"/>
      <protection locked="true" hidden="false"/>
    </xf>
    <xf numFmtId="169" fontId="14" fillId="4" borderId="8" xfId="0" applyFont="true" applyBorder="true" applyAlignment="true" applyProtection="false">
      <alignment horizontal="center" vertical="center" textRotation="0" wrapText="false" indent="0" shrinkToFit="false"/>
      <protection locked="true" hidden="false"/>
    </xf>
    <xf numFmtId="164" fontId="16" fillId="5" borderId="8" xfId="0" applyFont="true" applyBorder="true" applyAlignment="true" applyProtection="false">
      <alignment horizontal="center" vertical="center" textRotation="0" wrapText="false" indent="0" shrinkToFit="false"/>
      <protection locked="true" hidden="false"/>
    </xf>
    <xf numFmtId="168" fontId="16" fillId="5" borderId="8" xfId="19" applyFont="true" applyBorder="true" applyAlignment="true" applyProtection="true">
      <alignment horizontal="center" vertical="center" textRotation="0" wrapText="false" indent="0" shrinkToFit="false"/>
      <protection locked="true" hidden="false"/>
    </xf>
    <xf numFmtId="164" fontId="10" fillId="6" borderId="0" xfId="0" applyFont="true" applyBorder="false" applyAlignment="true" applyProtection="false">
      <alignment horizontal="right" vertical="center" textRotation="0" wrapText="false" indent="0" shrinkToFit="false"/>
      <protection locked="true" hidden="false"/>
    </xf>
    <xf numFmtId="170" fontId="14" fillId="6" borderId="9" xfId="0" applyFont="true" applyBorder="true" applyAlignment="true" applyProtection="false">
      <alignment horizontal="center" vertical="center" textRotation="0" wrapText="false" indent="0" shrinkToFit="false"/>
      <protection locked="true" hidden="false"/>
    </xf>
    <xf numFmtId="164" fontId="0" fillId="6" borderId="10" xfId="0" applyFont="false" applyBorder="true" applyAlignment="true" applyProtection="false">
      <alignment horizontal="general" vertical="center" textRotation="0" wrapText="false" indent="0" shrinkToFit="false"/>
      <protection locked="true" hidden="false"/>
    </xf>
    <xf numFmtId="164" fontId="0" fillId="6" borderId="9" xfId="0" applyFont="fals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true" applyProtection="false">
      <alignment horizontal="center" vertical="bottom" textRotation="0" wrapText="false" indent="0" shrinkToFit="false"/>
      <protection locked="true" hidden="false"/>
    </xf>
    <xf numFmtId="164" fontId="20" fillId="0" borderId="0" xfId="20" applyFont="true" applyBorder="true" applyAlignment="true" applyProtection="true">
      <alignment horizontal="general" vertical="bottom" textRotation="0" wrapText="false" indent="0" shrinkToFit="false"/>
      <protection locked="true" hidden="false"/>
    </xf>
    <xf numFmtId="164" fontId="21" fillId="0" borderId="0" xfId="20" applyFont="true" applyBorder="true" applyAlignment="true" applyProtection="tru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0" xfId="25" applyFont="true" applyBorder="false" applyAlignment="true" applyProtection="false">
      <alignment horizontal="general" vertical="top" textRotation="0" wrapText="false" indent="0" shrinkToFit="false"/>
      <protection locked="true" hidden="false"/>
    </xf>
    <xf numFmtId="164" fontId="0" fillId="0" borderId="0" xfId="25" applyFont="true" applyBorder="false" applyAlignment="true" applyProtection="false">
      <alignment horizontal="general" vertical="bottom" textRotation="0" wrapText="true" indent="0" shrinkToFit="false"/>
      <protection locked="true" hidden="false"/>
    </xf>
    <xf numFmtId="164" fontId="0" fillId="0" borderId="0" xfId="25" applyFont="true" applyBorder="false" applyAlignment="false" applyProtection="false">
      <alignment horizontal="general" vertical="bottom" textRotation="0" wrapText="false" indent="0" shrinkToFit="false"/>
      <protection locked="true" hidden="false"/>
    </xf>
    <xf numFmtId="164" fontId="0" fillId="7" borderId="0" xfId="25" applyFont="true" applyBorder="false" applyAlignment="true" applyProtection="false">
      <alignment horizontal="general" vertical="top" textRotation="0" wrapText="false" indent="0" shrinkToFit="false"/>
      <protection locked="true" hidden="false"/>
    </xf>
    <xf numFmtId="164" fontId="0" fillId="7" borderId="0" xfId="25" applyFont="true" applyBorder="false" applyAlignment="true" applyProtection="false">
      <alignment horizontal="general" vertical="bottom" textRotation="0" wrapText="true" indent="0" shrinkToFit="false"/>
      <protection locked="true" hidden="false"/>
    </xf>
    <xf numFmtId="164" fontId="24" fillId="8" borderId="0" xfId="25" applyFont="true" applyBorder="true" applyAlignment="true" applyProtection="false">
      <alignment horizontal="center" vertical="center" textRotation="0" wrapText="false" indent="0" shrinkToFit="false"/>
      <protection locked="true" hidden="false"/>
    </xf>
    <xf numFmtId="164" fontId="25" fillId="0" borderId="0" xfId="25" applyFont="true" applyBorder="false" applyAlignment="true" applyProtection="false">
      <alignment horizontal="general" vertical="top" textRotation="0" wrapText="false" indent="0" shrinkToFit="false"/>
      <protection locked="true" hidden="false"/>
    </xf>
    <xf numFmtId="164" fontId="26" fillId="0" borderId="0" xfId="25" applyFont="true" applyBorder="false" applyAlignment="false" applyProtection="false">
      <alignment horizontal="general" vertical="bottom" textRotation="0" wrapText="false" indent="0" shrinkToFit="false"/>
      <protection locked="true" hidden="false"/>
    </xf>
    <xf numFmtId="164" fontId="27" fillId="0" borderId="0" xfId="25" applyFont="true" applyBorder="false" applyAlignment="true" applyProtection="false">
      <alignment horizontal="general" vertical="top" textRotation="0" wrapText="false" indent="0" shrinkToFit="false"/>
      <protection locked="true" hidden="false"/>
    </xf>
    <xf numFmtId="164" fontId="28" fillId="0" borderId="0" xfId="25" applyFont="true" applyBorder="false" applyAlignment="true" applyProtection="false">
      <alignment horizontal="general" vertical="top" textRotation="0" wrapText="true" indent="0" shrinkToFit="false"/>
      <protection locked="true" hidden="false"/>
    </xf>
    <xf numFmtId="164" fontId="29" fillId="0" borderId="0" xfId="25" applyFont="true" applyBorder="false" applyAlignment="false" applyProtection="false">
      <alignment horizontal="general" vertical="bottom" textRotation="0" wrapText="false" indent="0" shrinkToFit="false"/>
      <protection locked="true" hidden="false"/>
    </xf>
    <xf numFmtId="164" fontId="29" fillId="0" borderId="0" xfId="23" applyFont="true" applyBorder="false" applyAlignment="true" applyProtection="false">
      <alignment horizontal="general" vertical="top" textRotation="0" wrapText="true" indent="0" shrinkToFit="false"/>
      <protection locked="true" hidden="false"/>
    </xf>
    <xf numFmtId="164" fontId="30" fillId="0" borderId="0" xfId="25" applyFont="true" applyBorder="false" applyAlignment="true" applyProtection="false">
      <alignment horizontal="general" vertical="top" textRotation="0" wrapText="true" indent="0" shrinkToFit="false"/>
      <protection locked="true" hidden="false"/>
    </xf>
    <xf numFmtId="164" fontId="31" fillId="8" borderId="0" xfId="25" applyFont="true" applyBorder="false" applyAlignment="true" applyProtection="false">
      <alignment horizontal="general" vertical="center" textRotation="0" wrapText="false" indent="0" shrinkToFit="false"/>
      <protection locked="true" hidden="false"/>
    </xf>
    <xf numFmtId="164" fontId="32" fillId="9" borderId="0" xfId="23" applyFont="true" applyBorder="false" applyAlignment="true" applyProtection="false">
      <alignment horizontal="left" vertical="center" textRotation="0" wrapText="true" indent="0" shrinkToFit="false"/>
      <protection locked="true" hidden="false"/>
    </xf>
    <xf numFmtId="164" fontId="29" fillId="0" borderId="0" xfId="25" applyFont="true" applyBorder="false" applyAlignment="true" applyProtection="false">
      <alignment horizontal="general" vertical="center" textRotation="0" wrapText="false" indent="0" shrinkToFit="false"/>
      <protection locked="true" hidden="false"/>
    </xf>
    <xf numFmtId="164" fontId="33" fillId="0" borderId="0" xfId="25" applyFont="true" applyBorder="false" applyAlignment="true" applyProtection="false">
      <alignment horizontal="general" vertical="top" textRotation="0" wrapText="false" indent="0" shrinkToFit="false"/>
      <protection locked="true" hidden="false"/>
    </xf>
    <xf numFmtId="164" fontId="28" fillId="0" borderId="0" xfId="23" applyFont="true" applyBorder="false" applyAlignment="true" applyProtection="false">
      <alignment horizontal="general" vertical="top" textRotation="0" wrapText="true" indent="0" shrinkToFit="false"/>
      <protection locked="true" hidden="false"/>
    </xf>
    <xf numFmtId="164" fontId="33" fillId="0" borderId="0" xfId="23" applyFont="true" applyBorder="false" applyAlignment="true" applyProtection="false">
      <alignment horizontal="general" vertical="top" textRotation="0" wrapText="true" indent="0" shrinkToFit="false"/>
      <protection locked="true" hidden="false"/>
    </xf>
    <xf numFmtId="164" fontId="0" fillId="9" borderId="8" xfId="23" applyFont="true" applyBorder="true" applyAlignment="true" applyProtection="false">
      <alignment horizontal="general" vertical="top" textRotation="0" wrapText="true" indent="0" shrinkToFit="false"/>
      <protection locked="true" hidden="false"/>
    </xf>
    <xf numFmtId="164" fontId="0" fillId="9" borderId="8" xfId="25" applyFont="true" applyBorder="true" applyAlignment="true" applyProtection="false">
      <alignment horizontal="general" vertical="top" textRotation="0" wrapText="true" indent="0" shrinkToFit="false"/>
      <protection locked="true" hidden="false"/>
    </xf>
    <xf numFmtId="164" fontId="33" fillId="0" borderId="0" xfId="25" applyFont="true" applyBorder="false" applyAlignment="false" applyProtection="false">
      <alignment horizontal="general" vertical="bottom" textRotation="0" wrapText="false" indent="0" shrinkToFit="false"/>
      <protection locked="true" hidden="false"/>
    </xf>
    <xf numFmtId="164" fontId="26" fillId="0" borderId="0" xfId="25" applyFont="true" applyBorder="false" applyAlignment="true" applyProtection="false">
      <alignment horizontal="center" vertical="center" textRotation="0" wrapText="true" indent="0" shrinkToFit="false"/>
      <protection locked="true" hidden="false"/>
    </xf>
    <xf numFmtId="170" fontId="34" fillId="5" borderId="0" xfId="25" applyFont="true" applyBorder="false" applyAlignment="true" applyProtection="false">
      <alignment horizontal="general" vertical="top" textRotation="0" wrapText="true" indent="0" shrinkToFit="false"/>
      <protection locked="true" hidden="false"/>
    </xf>
    <xf numFmtId="164" fontId="8" fillId="0" borderId="0" xfId="25" applyFont="true" applyBorder="false" applyAlignment="true" applyProtection="false">
      <alignment horizontal="general" vertical="top" textRotation="0" wrapText="true" indent="0" shrinkToFit="false"/>
      <protection locked="true" hidden="false"/>
    </xf>
    <xf numFmtId="164" fontId="35" fillId="0" borderId="0" xfId="25" applyFont="true" applyBorder="false" applyAlignment="true" applyProtection="false">
      <alignment horizontal="general" vertical="top" textRotation="0" wrapText="true" indent="0" shrinkToFit="false"/>
      <protection locked="true" hidden="false"/>
    </xf>
    <xf numFmtId="164" fontId="0" fillId="0" borderId="0" xfId="25" applyFont="true" applyBorder="false" applyAlignment="true" applyProtection="false">
      <alignment horizontal="general" vertical="top" textRotation="0" wrapText="true" indent="0" shrinkToFit="false"/>
      <protection locked="true" hidden="false"/>
    </xf>
    <xf numFmtId="164" fontId="0" fillId="5" borderId="0" xfId="25" applyFont="true" applyBorder="false" applyAlignment="true" applyProtection="false">
      <alignment horizontal="general" vertical="top" textRotation="0" wrapText="true" indent="0" shrinkToFit="false"/>
      <protection locked="true" hidden="false"/>
    </xf>
    <xf numFmtId="164" fontId="36" fillId="5" borderId="0" xfId="25" applyFont="true" applyBorder="false" applyAlignment="true" applyProtection="false">
      <alignment horizontal="general" vertical="top" textRotation="0" wrapText="true" indent="0" shrinkToFit="false"/>
      <protection locked="true" hidden="false"/>
    </xf>
    <xf numFmtId="164" fontId="0" fillId="5" borderId="0" xfId="24" applyFont="true" applyBorder="false" applyAlignment="true" applyProtection="false">
      <alignment horizontal="general" vertical="top" textRotation="0" wrapText="true" indent="0" shrinkToFit="false"/>
      <protection locked="true" hidden="false"/>
    </xf>
    <xf numFmtId="164" fontId="37" fillId="5" borderId="0" xfId="21" applyFont="true" applyBorder="false" applyAlignment="true" applyProtection="false">
      <alignment horizontal="general" vertical="bottom" textRotation="0" wrapText="true" indent="0" shrinkToFit="false"/>
      <protection locked="true" hidden="false"/>
    </xf>
    <xf numFmtId="164" fontId="0" fillId="5" borderId="0" xfId="24" applyFont="true" applyBorder="false" applyAlignment="true" applyProtection="false">
      <alignment horizontal="general" vertical="bottom" textRotation="0" wrapText="true" indent="0" shrinkToFit="false"/>
      <protection locked="true" hidden="false"/>
    </xf>
    <xf numFmtId="164" fontId="0" fillId="5" borderId="0" xfId="25" applyFont="true" applyBorder="false" applyAlignment="true" applyProtection="false">
      <alignment horizontal="general" vertical="bottom" textRotation="0" wrapText="tru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top" textRotation="0" wrapText="false" indent="0" shrinkToFit="false"/>
      <protection locked="true" hidden="false"/>
    </xf>
    <xf numFmtId="164" fontId="39" fillId="0"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left" vertical="center" textRotation="0" wrapText="false" indent="0" shrinkToFit="false"/>
      <protection locked="true" hidden="false"/>
    </xf>
    <xf numFmtId="164" fontId="38" fillId="0" borderId="0" xfId="0" applyFont="true" applyBorder="false" applyAlignment="true" applyProtection="false">
      <alignment horizontal="left"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42" fillId="0" borderId="0" xfId="0" applyFont="true" applyBorder="false" applyAlignment="true" applyProtection="false">
      <alignment horizontal="general" vertical="top"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45" fillId="0" borderId="0" xfId="0" applyFont="true" applyBorder="false" applyAlignment="true" applyProtection="false">
      <alignment horizontal="left" vertical="top" textRotation="0" wrapText="true" indent="1" shrinkToFit="false"/>
      <protection locked="true" hidden="false"/>
    </xf>
    <xf numFmtId="164" fontId="45" fillId="0" borderId="0" xfId="0" applyFont="true" applyBorder="false" applyAlignment="true" applyProtection="false">
      <alignment horizontal="general" vertical="top" textRotation="0" wrapText="true" indent="0" shrinkToFit="false"/>
      <protection locked="true" hidden="false"/>
    </xf>
    <xf numFmtId="164" fontId="19" fillId="0" borderId="0" xfId="20" applyFont="true" applyBorder="true" applyAlignment="true" applyProtection="true">
      <alignment horizontal="left" vertical="bottom" textRotation="0" wrapText="false" indent="1"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2" xfId="22"/>
    <cellStyle name="Normal 3 2 2" xfId="23"/>
    <cellStyle name="Normal 4" xfId="24"/>
    <cellStyle name="Normal 4 2" xfId="25"/>
    <cellStyle name="*unknown*" xfId="20" builtinId="8"/>
  </cellStyles>
  <dxfs count="3">
    <dxf>
      <fill>
        <patternFill>
          <bgColor theme="0" tint="-0.35"/>
        </patternFill>
      </fill>
    </dxf>
    <dxf>
      <fill>
        <patternFill>
          <bgColor theme="7"/>
        </patternFill>
      </fill>
      <border diagonalUp="false" diagonalDown="false">
        <left/>
        <right/>
        <top/>
        <bottom/>
        <diagonal/>
      </border>
    </dxf>
    <dxf>
      <border diagonalUp="false" diagonalDown="false">
        <left style="thin">
          <color rgb="FFC00000"/>
        </left>
        <right style="thin">
          <color rgb="FFC00000"/>
        </right>
        <top/>
        <bottom/>
        <diagonal/>
      </border>
    </dxf>
  </dxfs>
  <colors>
    <indexedColors>
      <rgbColor rgb="FF000000"/>
      <rgbColor rgb="FFFFFFFF"/>
      <rgbColor rgb="FFFF0000"/>
      <rgbColor rgb="FF00FF00"/>
      <rgbColor rgb="FF0000FF"/>
      <rgbColor rgb="FFFFFF00"/>
      <rgbColor rgb="FFFF00FF"/>
      <rgbColor rgb="FF00FFFF"/>
      <rgbColor rgb="FFC00000"/>
      <rgbColor rgb="FF008000"/>
      <rgbColor rgb="FF000080"/>
      <rgbColor rgb="FF7F7F7F"/>
      <rgbColor rgb="FF800080"/>
      <rgbColor rgb="FF008080"/>
      <rgbColor rgb="FFBFBFBF"/>
      <rgbColor rgb="FF808080"/>
      <rgbColor rgb="FF9999FF"/>
      <rgbColor rgb="FF573B88"/>
      <rgbColor rgb="FFF2F2F2"/>
      <rgbColor rgb="FFE5EDF7"/>
      <rgbColor rgb="FF660066"/>
      <rgbColor rgb="FFFF8080"/>
      <rgbColor rgb="FF3464AB"/>
      <rgbColor rgb="FFD9D9D9"/>
      <rgbColor rgb="FF000080"/>
      <rgbColor rgb="FFFF00FF"/>
      <rgbColor rgb="FFFFFF00"/>
      <rgbColor rgb="FF00FFFF"/>
      <rgbColor rgb="FF800080"/>
      <rgbColor rgb="FF800000"/>
      <rgbColor rgb="FF008080"/>
      <rgbColor rgb="FF0000FF"/>
      <rgbColor rgb="FF00CCFF"/>
      <rgbColor rgb="FFE3DCF0"/>
      <rgbColor rgb="FFCCFFCC"/>
      <rgbColor rgb="FFFFFF99"/>
      <rgbColor rgb="FFB3B3B3"/>
      <rgbColor rgb="FFFF99CC"/>
      <rgbColor rgb="FFCC99FF"/>
      <rgbColor rgb="FFFFCC99"/>
      <rgbColor rgb="FF2B76BB"/>
      <rgbColor rgb="FF33CCCC"/>
      <rgbColor rgb="FF99CC00"/>
      <rgbColor rgb="FFFFCC00"/>
      <rgbColor rgb="FFFF9900"/>
      <rgbColor rgb="FFFF6600"/>
      <rgbColor rgb="FF7451B3"/>
      <rgbColor rgb="FFA6A6A6"/>
      <rgbColor rgb="FF003366"/>
      <rgbColor rgb="FF339966"/>
      <rgbColor rgb="FF003300"/>
      <rgbColor rgb="FF333300"/>
      <rgbColor rgb="FF993300"/>
      <rgbColor rgb="FF595959"/>
      <rgbColor rgb="FF553A87"/>
      <rgbColor rgb="FF1D21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95400</xdr:rowOff>
    </xdr:from>
    <xdr:to>
      <xdr:col>1</xdr:col>
      <xdr:colOff>1904760</xdr:colOff>
      <xdr:row>0</xdr:row>
      <xdr:rowOff>523800</xdr:rowOff>
    </xdr:to>
    <xdr:pic>
      <xdr:nvPicPr>
        <xdr:cNvPr id="0" name="Picture 1" descr="">
          <a:hlinkClick r:id="rId1"/>
        </xdr:cNvPr>
        <xdr:cNvPicPr/>
      </xdr:nvPicPr>
      <xdr:blipFill>
        <a:blip r:embed="rId2"/>
        <a:stretch/>
      </xdr:blipFill>
      <xdr:spPr>
        <a:xfrm>
          <a:off x="203040" y="95400"/>
          <a:ext cx="1904760" cy="428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AI_Theme">
      <a:dk1>
        <a:srgbClr val="000000"/>
      </a:dk1>
      <a:lt1>
        <a:srgbClr val="ffffff"/>
      </a:lt1>
      <a:dk2>
        <a:srgbClr val="3a5d9c"/>
      </a:dk2>
      <a:lt2>
        <a:srgbClr val="eeeeee"/>
      </a:lt2>
      <a:accent1>
        <a:srgbClr val="7451b3"/>
      </a:accent1>
      <a:accent2>
        <a:srgbClr val="439957"/>
      </a:accent2>
      <a:accent3>
        <a:srgbClr val="cb4d5c"/>
      </a:accent3>
      <a:accent4>
        <a:srgbClr val="2b76bb"/>
      </a:accent4>
      <a:accent5>
        <a:srgbClr val="c7823d"/>
      </a:accent5>
      <a:accent6>
        <a:srgbClr val="328c88"/>
      </a:accent6>
      <a:hlink>
        <a:srgbClr val="4c92ae"/>
      </a:hlink>
      <a:folHlink>
        <a:srgbClr val="969696"/>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B8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E17" activeCellId="0" sqref="E17"/>
    </sheetView>
  </sheetViews>
  <sheetFormatPr defaultColWidth="10.3359375" defaultRowHeight="14.25" zeroHeight="false" outlineLevelRow="0" outlineLevelCol="0"/>
  <cols>
    <col collapsed="false" customWidth="true" hidden="false" outlineLevel="0" max="1" min="1" style="0" width="2.67"/>
    <col collapsed="false" customWidth="true" hidden="false" outlineLevel="0" max="2" min="2" style="0" width="44.66"/>
    <col collapsed="false" customWidth="true" hidden="false" outlineLevel="0" max="3" min="3" style="0" width="18.44"/>
    <col collapsed="false" customWidth="true" hidden="false" outlineLevel="0" max="4" min="4" style="0" width="9.56"/>
    <col collapsed="false" customWidth="false" hidden="false" outlineLevel="0" max="5" min="5" style="1" width="10.33"/>
    <col collapsed="false" customWidth="true" hidden="false" outlineLevel="0" max="7" min="7" style="0" width="2.67"/>
    <col collapsed="false" customWidth="true" hidden="true" outlineLevel="0" max="8" min="8" style="0" width="6.11"/>
    <col collapsed="false" customWidth="true" hidden="false" outlineLevel="0" max="106" min="9" style="0" width="2.56"/>
  </cols>
  <sheetData>
    <row r="1" customFormat="false" ht="19.5" hidden="false" customHeight="true" outlineLevel="0" collapsed="false">
      <c r="B1" s="2" t="s">
        <v>0</v>
      </c>
      <c r="D1" s="3" t="s">
        <v>1</v>
      </c>
      <c r="E1" s="4" t="n">
        <v>46163</v>
      </c>
      <c r="F1" s="4"/>
    </row>
    <row r="2" customFormat="false" ht="19.5" hidden="false" customHeight="true" outlineLevel="0" collapsed="false">
      <c r="B2" s="5" t="s">
        <v>2</v>
      </c>
      <c r="D2" s="3" t="s">
        <v>3</v>
      </c>
      <c r="E2" s="4" t="n">
        <f aca="true">TODAY()</f>
        <v>46163</v>
      </c>
      <c r="F2" s="4"/>
    </row>
    <row r="3" customFormat="false" ht="19.5" hidden="false" customHeight="true" outlineLevel="0" collapsed="false">
      <c r="B3" s="6" t="s">
        <v>4</v>
      </c>
      <c r="D3" s="3" t="s">
        <v>5</v>
      </c>
      <c r="E3" s="4" t="n">
        <v>46262</v>
      </c>
      <c r="F3" s="4"/>
    </row>
    <row r="4" customFormat="false" ht="19.5" hidden="false" customHeight="true" outlineLevel="0" collapsed="false">
      <c r="B4" s="7"/>
      <c r="C4" s="8"/>
      <c r="D4" s="3" t="s">
        <v>6</v>
      </c>
      <c r="E4" s="9" t="n">
        <v>1</v>
      </c>
      <c r="I4" s="10" t="n">
        <f aca="false">I5</f>
        <v>46160</v>
      </c>
      <c r="J4" s="10"/>
      <c r="K4" s="10"/>
      <c r="L4" s="10"/>
      <c r="M4" s="10"/>
      <c r="N4" s="10"/>
      <c r="O4" s="10"/>
      <c r="P4" s="10" t="n">
        <f aca="false">P5</f>
        <v>46167</v>
      </c>
      <c r="Q4" s="10"/>
      <c r="R4" s="10"/>
      <c r="S4" s="10"/>
      <c r="T4" s="10"/>
      <c r="U4" s="10"/>
      <c r="V4" s="10"/>
      <c r="W4" s="10" t="n">
        <f aca="false">W5</f>
        <v>46174</v>
      </c>
      <c r="X4" s="10"/>
      <c r="Y4" s="10"/>
      <c r="Z4" s="10"/>
      <c r="AA4" s="10"/>
      <c r="AB4" s="10"/>
      <c r="AC4" s="10"/>
      <c r="AD4" s="10" t="n">
        <f aca="false">AD5</f>
        <v>46181</v>
      </c>
      <c r="AE4" s="10"/>
      <c r="AF4" s="10"/>
      <c r="AG4" s="10"/>
      <c r="AH4" s="10"/>
      <c r="AI4" s="10"/>
      <c r="AJ4" s="10"/>
      <c r="AK4" s="10" t="n">
        <f aca="false">AK5</f>
        <v>46188</v>
      </c>
      <c r="AL4" s="10"/>
      <c r="AM4" s="10"/>
      <c r="AN4" s="10"/>
      <c r="AO4" s="10"/>
      <c r="AP4" s="10"/>
      <c r="AQ4" s="10"/>
      <c r="AR4" s="10" t="n">
        <f aca="false">AR5</f>
        <v>46195</v>
      </c>
      <c r="AS4" s="10"/>
      <c r="AT4" s="10"/>
      <c r="AU4" s="10"/>
      <c r="AV4" s="10"/>
      <c r="AW4" s="10"/>
      <c r="AX4" s="10"/>
      <c r="AY4" s="10" t="n">
        <f aca="false">AY5</f>
        <v>46202</v>
      </c>
      <c r="AZ4" s="10"/>
      <c r="BA4" s="10"/>
      <c r="BB4" s="10"/>
      <c r="BC4" s="10"/>
      <c r="BD4" s="10"/>
      <c r="BE4" s="10"/>
      <c r="BF4" s="10" t="n">
        <f aca="false">BF5</f>
        <v>46209</v>
      </c>
      <c r="BG4" s="10"/>
      <c r="BH4" s="10"/>
      <c r="BI4" s="10"/>
      <c r="BJ4" s="10"/>
      <c r="BK4" s="10"/>
      <c r="BL4" s="10"/>
      <c r="BM4" s="10" t="n">
        <f aca="false">BM5</f>
        <v>46216</v>
      </c>
      <c r="BN4" s="10"/>
      <c r="BO4" s="10"/>
      <c r="BP4" s="10"/>
      <c r="BQ4" s="10"/>
      <c r="BR4" s="10"/>
      <c r="BS4" s="10"/>
      <c r="BT4" s="10" t="n">
        <f aca="false">BT5</f>
        <v>46223</v>
      </c>
      <c r="BU4" s="10"/>
      <c r="BV4" s="10"/>
      <c r="BW4" s="10"/>
      <c r="BX4" s="10"/>
      <c r="BY4" s="10"/>
      <c r="BZ4" s="10"/>
      <c r="CA4" s="10" t="n">
        <f aca="false">CA5</f>
        <v>46230</v>
      </c>
      <c r="CB4" s="10"/>
      <c r="CC4" s="10"/>
      <c r="CD4" s="10"/>
      <c r="CE4" s="10"/>
      <c r="CF4" s="10"/>
      <c r="CG4" s="10"/>
      <c r="CH4" s="10" t="n">
        <f aca="false">CH5</f>
        <v>46237</v>
      </c>
      <c r="CI4" s="10"/>
      <c r="CJ4" s="10"/>
      <c r="CK4" s="10"/>
      <c r="CL4" s="10"/>
      <c r="CM4" s="10"/>
      <c r="CN4" s="10"/>
      <c r="CO4" s="10" t="n">
        <f aca="false">CO5</f>
        <v>46244</v>
      </c>
      <c r="CP4" s="10"/>
      <c r="CQ4" s="10"/>
      <c r="CR4" s="10"/>
      <c r="CS4" s="10"/>
      <c r="CT4" s="10"/>
      <c r="CU4" s="10"/>
      <c r="CV4" s="10" t="n">
        <f aca="false">CV5</f>
        <v>46251</v>
      </c>
      <c r="CW4" s="10"/>
      <c r="CX4" s="10"/>
      <c r="CY4" s="10"/>
      <c r="CZ4" s="10"/>
      <c r="DA4" s="10"/>
      <c r="DB4" s="10"/>
    </row>
    <row r="5" customFormat="false" ht="14.25" hidden="false" customHeight="false" outlineLevel="0" collapsed="false">
      <c r="A5" s="3"/>
      <c r="G5" s="3"/>
      <c r="I5" s="11" t="n">
        <f aca="false">E1-WEEKDAY(E1,1)+2+7*(E4-1)</f>
        <v>46160</v>
      </c>
      <c r="J5" s="12" t="n">
        <f aca="false">I5+1</f>
        <v>46161</v>
      </c>
      <c r="K5" s="12" t="n">
        <f aca="false">J5+1</f>
        <v>46162</v>
      </c>
      <c r="L5" s="12" t="n">
        <f aca="false">K5+1</f>
        <v>46163</v>
      </c>
      <c r="M5" s="12" t="n">
        <f aca="false">L5+1</f>
        <v>46164</v>
      </c>
      <c r="N5" s="12" t="n">
        <f aca="false">M5+1</f>
        <v>46165</v>
      </c>
      <c r="O5" s="13" t="n">
        <f aca="false">N5+1</f>
        <v>46166</v>
      </c>
      <c r="P5" s="11" t="n">
        <f aca="false">O5+1</f>
        <v>46167</v>
      </c>
      <c r="Q5" s="12" t="n">
        <f aca="false">P5+1</f>
        <v>46168</v>
      </c>
      <c r="R5" s="12" t="n">
        <f aca="false">Q5+1</f>
        <v>46169</v>
      </c>
      <c r="S5" s="12" t="n">
        <f aca="false">R5+1</f>
        <v>46170</v>
      </c>
      <c r="T5" s="12" t="n">
        <f aca="false">S5+1</f>
        <v>46171</v>
      </c>
      <c r="U5" s="12" t="n">
        <f aca="false">T5+1</f>
        <v>46172</v>
      </c>
      <c r="V5" s="13" t="n">
        <f aca="false">U5+1</f>
        <v>46173</v>
      </c>
      <c r="W5" s="11" t="n">
        <f aca="false">V5+1</f>
        <v>46174</v>
      </c>
      <c r="X5" s="12" t="n">
        <f aca="false">W5+1</f>
        <v>46175</v>
      </c>
      <c r="Y5" s="12" t="n">
        <f aca="false">X5+1</f>
        <v>46176</v>
      </c>
      <c r="Z5" s="12" t="n">
        <f aca="false">Y5+1</f>
        <v>46177</v>
      </c>
      <c r="AA5" s="12" t="n">
        <f aca="false">Z5+1</f>
        <v>46178</v>
      </c>
      <c r="AB5" s="12" t="n">
        <f aca="false">AA5+1</f>
        <v>46179</v>
      </c>
      <c r="AC5" s="13" t="n">
        <f aca="false">AB5+1</f>
        <v>46180</v>
      </c>
      <c r="AD5" s="11" t="n">
        <f aca="false">AC5+1</f>
        <v>46181</v>
      </c>
      <c r="AE5" s="12" t="n">
        <f aca="false">AD5+1</f>
        <v>46182</v>
      </c>
      <c r="AF5" s="12" t="n">
        <f aca="false">AE5+1</f>
        <v>46183</v>
      </c>
      <c r="AG5" s="12" t="n">
        <f aca="false">AF5+1</f>
        <v>46184</v>
      </c>
      <c r="AH5" s="12" t="n">
        <f aca="false">AG5+1</f>
        <v>46185</v>
      </c>
      <c r="AI5" s="12" t="n">
        <f aca="false">AH5+1</f>
        <v>46186</v>
      </c>
      <c r="AJ5" s="13" t="n">
        <f aca="false">AI5+1</f>
        <v>46187</v>
      </c>
      <c r="AK5" s="11" t="n">
        <f aca="false">AJ5+1</f>
        <v>46188</v>
      </c>
      <c r="AL5" s="12" t="n">
        <f aca="false">AK5+1</f>
        <v>46189</v>
      </c>
      <c r="AM5" s="12" t="n">
        <f aca="false">AL5+1</f>
        <v>46190</v>
      </c>
      <c r="AN5" s="12" t="n">
        <f aca="false">AM5+1</f>
        <v>46191</v>
      </c>
      <c r="AO5" s="12" t="n">
        <f aca="false">AN5+1</f>
        <v>46192</v>
      </c>
      <c r="AP5" s="12" t="n">
        <f aca="false">AO5+1</f>
        <v>46193</v>
      </c>
      <c r="AQ5" s="13" t="n">
        <f aca="false">AP5+1</f>
        <v>46194</v>
      </c>
      <c r="AR5" s="11" t="n">
        <f aca="false">AQ5+1</f>
        <v>46195</v>
      </c>
      <c r="AS5" s="12" t="n">
        <f aca="false">AR5+1</f>
        <v>46196</v>
      </c>
      <c r="AT5" s="12" t="n">
        <f aca="false">AS5+1</f>
        <v>46197</v>
      </c>
      <c r="AU5" s="12" t="n">
        <f aca="false">AT5+1</f>
        <v>46198</v>
      </c>
      <c r="AV5" s="12" t="n">
        <f aca="false">AU5+1</f>
        <v>46199</v>
      </c>
      <c r="AW5" s="12" t="n">
        <f aca="false">AV5+1</f>
        <v>46200</v>
      </c>
      <c r="AX5" s="13" t="n">
        <f aca="false">AW5+1</f>
        <v>46201</v>
      </c>
      <c r="AY5" s="11" t="n">
        <f aca="false">AX5+1</f>
        <v>46202</v>
      </c>
      <c r="AZ5" s="12" t="n">
        <f aca="false">AY5+1</f>
        <v>46203</v>
      </c>
      <c r="BA5" s="12" t="n">
        <f aca="false">AZ5+1</f>
        <v>46204</v>
      </c>
      <c r="BB5" s="12" t="n">
        <f aca="false">BA5+1</f>
        <v>46205</v>
      </c>
      <c r="BC5" s="12" t="n">
        <f aca="false">BB5+1</f>
        <v>46206</v>
      </c>
      <c r="BD5" s="12" t="n">
        <f aca="false">BC5+1</f>
        <v>46207</v>
      </c>
      <c r="BE5" s="13" t="n">
        <f aca="false">BD5+1</f>
        <v>46208</v>
      </c>
      <c r="BF5" s="11" t="n">
        <f aca="false">BE5+1</f>
        <v>46209</v>
      </c>
      <c r="BG5" s="12" t="n">
        <f aca="false">BF5+1</f>
        <v>46210</v>
      </c>
      <c r="BH5" s="12" t="n">
        <f aca="false">BG5+1</f>
        <v>46211</v>
      </c>
      <c r="BI5" s="12" t="n">
        <f aca="false">BH5+1</f>
        <v>46212</v>
      </c>
      <c r="BJ5" s="12" t="n">
        <f aca="false">BI5+1</f>
        <v>46213</v>
      </c>
      <c r="BK5" s="12" t="n">
        <f aca="false">BJ5+1</f>
        <v>46214</v>
      </c>
      <c r="BL5" s="13" t="n">
        <f aca="false">BK5+1</f>
        <v>46215</v>
      </c>
      <c r="BM5" s="11" t="n">
        <f aca="false">BL5+1</f>
        <v>46216</v>
      </c>
      <c r="BN5" s="12" t="n">
        <f aca="false">BM5+1</f>
        <v>46217</v>
      </c>
      <c r="BO5" s="12" t="n">
        <f aca="false">BN5+1</f>
        <v>46218</v>
      </c>
      <c r="BP5" s="12" t="n">
        <f aca="false">BO5+1</f>
        <v>46219</v>
      </c>
      <c r="BQ5" s="12" t="n">
        <f aca="false">BP5+1</f>
        <v>46220</v>
      </c>
      <c r="BR5" s="12" t="n">
        <f aca="false">BQ5+1</f>
        <v>46221</v>
      </c>
      <c r="BS5" s="13" t="n">
        <f aca="false">BR5+1</f>
        <v>46222</v>
      </c>
      <c r="BT5" s="11" t="n">
        <f aca="false">BS5+1</f>
        <v>46223</v>
      </c>
      <c r="BU5" s="12" t="n">
        <f aca="false">BT5+1</f>
        <v>46224</v>
      </c>
      <c r="BV5" s="12" t="n">
        <f aca="false">BU5+1</f>
        <v>46225</v>
      </c>
      <c r="BW5" s="12" t="n">
        <f aca="false">BV5+1</f>
        <v>46226</v>
      </c>
      <c r="BX5" s="12" t="n">
        <f aca="false">BW5+1</f>
        <v>46227</v>
      </c>
      <c r="BY5" s="12" t="n">
        <f aca="false">BX5+1</f>
        <v>46228</v>
      </c>
      <c r="BZ5" s="13" t="n">
        <f aca="false">BY5+1</f>
        <v>46229</v>
      </c>
      <c r="CA5" s="11" t="n">
        <f aca="false">BZ5+1</f>
        <v>46230</v>
      </c>
      <c r="CB5" s="12" t="n">
        <f aca="false">CA5+1</f>
        <v>46231</v>
      </c>
      <c r="CC5" s="12" t="n">
        <f aca="false">CB5+1</f>
        <v>46232</v>
      </c>
      <c r="CD5" s="12" t="n">
        <f aca="false">CC5+1</f>
        <v>46233</v>
      </c>
      <c r="CE5" s="12" t="n">
        <f aca="false">CD5+1</f>
        <v>46234</v>
      </c>
      <c r="CF5" s="12" t="n">
        <f aca="false">CE5+1</f>
        <v>46235</v>
      </c>
      <c r="CG5" s="13" t="n">
        <f aca="false">CF5+1</f>
        <v>46236</v>
      </c>
      <c r="CH5" s="11" t="n">
        <f aca="false">CG5+1</f>
        <v>46237</v>
      </c>
      <c r="CI5" s="12" t="n">
        <f aca="false">CH5+1</f>
        <v>46238</v>
      </c>
      <c r="CJ5" s="12" t="n">
        <f aca="false">CI5+1</f>
        <v>46239</v>
      </c>
      <c r="CK5" s="12" t="n">
        <f aca="false">CJ5+1</f>
        <v>46240</v>
      </c>
      <c r="CL5" s="12" t="n">
        <f aca="false">CK5+1</f>
        <v>46241</v>
      </c>
      <c r="CM5" s="12" t="n">
        <f aca="false">CL5+1</f>
        <v>46242</v>
      </c>
      <c r="CN5" s="13" t="n">
        <f aca="false">CM5+1</f>
        <v>46243</v>
      </c>
      <c r="CO5" s="11" t="n">
        <f aca="false">CN5+1</f>
        <v>46244</v>
      </c>
      <c r="CP5" s="12" t="n">
        <f aca="false">CO5+1</f>
        <v>46245</v>
      </c>
      <c r="CQ5" s="12" t="n">
        <f aca="false">CP5+1</f>
        <v>46246</v>
      </c>
      <c r="CR5" s="12" t="n">
        <f aca="false">CQ5+1</f>
        <v>46247</v>
      </c>
      <c r="CS5" s="12" t="n">
        <f aca="false">CR5+1</f>
        <v>46248</v>
      </c>
      <c r="CT5" s="12" t="n">
        <f aca="false">CS5+1</f>
        <v>46249</v>
      </c>
      <c r="CU5" s="13" t="n">
        <f aca="false">CT5+1</f>
        <v>46250</v>
      </c>
      <c r="CV5" s="11" t="n">
        <f aca="false">CU5+1</f>
        <v>46251</v>
      </c>
      <c r="CW5" s="12" t="n">
        <f aca="false">CV5+1</f>
        <v>46252</v>
      </c>
      <c r="CX5" s="12" t="n">
        <f aca="false">CW5+1</f>
        <v>46253</v>
      </c>
      <c r="CY5" s="12" t="n">
        <f aca="false">CX5+1</f>
        <v>46254</v>
      </c>
      <c r="CZ5" s="12" t="n">
        <f aca="false">CY5+1</f>
        <v>46255</v>
      </c>
      <c r="DA5" s="12" t="n">
        <f aca="false">CZ5+1</f>
        <v>46256</v>
      </c>
      <c r="DB5" s="13" t="n">
        <f aca="false">DA5+1</f>
        <v>46257</v>
      </c>
    </row>
    <row r="6" s="18" customFormat="true" ht="29.25" hidden="false" customHeight="true" outlineLevel="0" collapsed="false">
      <c r="A6" s="14"/>
      <c r="B6" s="15" t="s">
        <v>7</v>
      </c>
      <c r="C6" s="16" t="s">
        <v>8</v>
      </c>
      <c r="D6" s="16" t="s">
        <v>9</v>
      </c>
      <c r="E6" s="16" t="s">
        <v>10</v>
      </c>
      <c r="F6" s="16" t="s">
        <v>11</v>
      </c>
      <c r="G6" s="16"/>
      <c r="H6" s="16" t="s">
        <v>12</v>
      </c>
      <c r="I6" s="17" t="str">
        <f aca="false">LEFT(TEXT(I5,"ddd"),1)</f>
        <v>M</v>
      </c>
      <c r="J6" s="17" t="str">
        <f aca="false">LEFT(TEXT(J5,"ddd"),1)</f>
        <v>T</v>
      </c>
      <c r="K6" s="17" t="str">
        <f aca="false">LEFT(TEXT(K5,"ddd"),1)</f>
        <v>W</v>
      </c>
      <c r="L6" s="17" t="str">
        <f aca="false">LEFT(TEXT(L5,"ddd"),1)</f>
        <v>T</v>
      </c>
      <c r="M6" s="17" t="str">
        <f aca="false">LEFT(TEXT(M5,"ddd"),1)</f>
        <v>F</v>
      </c>
      <c r="N6" s="17" t="str">
        <f aca="false">LEFT(TEXT(N5,"ddd"),1)</f>
        <v>S</v>
      </c>
      <c r="O6" s="17" t="str">
        <f aca="false">LEFT(TEXT(O5,"ddd"),1)</f>
        <v>S</v>
      </c>
      <c r="P6" s="17" t="str">
        <f aca="false">LEFT(TEXT(P5,"ddd"),1)</f>
        <v>M</v>
      </c>
      <c r="Q6" s="17" t="str">
        <f aca="false">LEFT(TEXT(Q5,"ddd"),1)</f>
        <v>T</v>
      </c>
      <c r="R6" s="17" t="str">
        <f aca="false">LEFT(TEXT(R5,"ddd"),1)</f>
        <v>W</v>
      </c>
      <c r="S6" s="17" t="str">
        <f aca="false">LEFT(TEXT(S5,"ddd"),1)</f>
        <v>T</v>
      </c>
      <c r="T6" s="17" t="str">
        <f aca="false">LEFT(TEXT(T5,"ddd"),1)</f>
        <v>F</v>
      </c>
      <c r="U6" s="17" t="str">
        <f aca="false">LEFT(TEXT(U5,"ddd"),1)</f>
        <v>S</v>
      </c>
      <c r="V6" s="17" t="str">
        <f aca="false">LEFT(TEXT(V5,"ddd"),1)</f>
        <v>S</v>
      </c>
      <c r="W6" s="17" t="str">
        <f aca="false">LEFT(TEXT(W5,"ddd"),1)</f>
        <v>M</v>
      </c>
      <c r="X6" s="17" t="str">
        <f aca="false">LEFT(TEXT(X5,"ddd"),1)</f>
        <v>T</v>
      </c>
      <c r="Y6" s="17" t="str">
        <f aca="false">LEFT(TEXT(Y5,"ddd"),1)</f>
        <v>W</v>
      </c>
      <c r="Z6" s="17" t="str">
        <f aca="false">LEFT(TEXT(Z5,"ddd"),1)</f>
        <v>T</v>
      </c>
      <c r="AA6" s="17" t="str">
        <f aca="false">LEFT(TEXT(AA5,"ddd"),1)</f>
        <v>F</v>
      </c>
      <c r="AB6" s="17" t="str">
        <f aca="false">LEFT(TEXT(AB5,"ddd"),1)</f>
        <v>S</v>
      </c>
      <c r="AC6" s="17" t="str">
        <f aca="false">LEFT(TEXT(AC5,"ddd"),1)</f>
        <v>S</v>
      </c>
      <c r="AD6" s="17" t="str">
        <f aca="false">LEFT(TEXT(AD5,"ddd"),1)</f>
        <v>M</v>
      </c>
      <c r="AE6" s="17" t="str">
        <f aca="false">LEFT(TEXT(AE5,"ddd"),1)</f>
        <v>T</v>
      </c>
      <c r="AF6" s="17" t="str">
        <f aca="false">LEFT(TEXT(AF5,"ddd"),1)</f>
        <v>W</v>
      </c>
      <c r="AG6" s="17" t="str">
        <f aca="false">LEFT(TEXT(AG5,"ddd"),1)</f>
        <v>T</v>
      </c>
      <c r="AH6" s="17" t="str">
        <f aca="false">LEFT(TEXT(AH5,"ddd"),1)</f>
        <v>F</v>
      </c>
      <c r="AI6" s="17" t="str">
        <f aca="false">LEFT(TEXT(AI5,"ddd"),1)</f>
        <v>S</v>
      </c>
      <c r="AJ6" s="17" t="str">
        <f aca="false">LEFT(TEXT(AJ5,"ddd"),1)</f>
        <v>S</v>
      </c>
      <c r="AK6" s="17" t="str">
        <f aca="false">LEFT(TEXT(AK5,"ddd"),1)</f>
        <v>M</v>
      </c>
      <c r="AL6" s="17" t="str">
        <f aca="false">LEFT(TEXT(AL5,"ddd"),1)</f>
        <v>T</v>
      </c>
      <c r="AM6" s="17" t="str">
        <f aca="false">LEFT(TEXT(AM5,"ddd"),1)</f>
        <v>W</v>
      </c>
      <c r="AN6" s="17" t="str">
        <f aca="false">LEFT(TEXT(AN5,"ddd"),1)</f>
        <v>T</v>
      </c>
      <c r="AO6" s="17" t="str">
        <f aca="false">LEFT(TEXT(AO5,"ddd"),1)</f>
        <v>F</v>
      </c>
      <c r="AP6" s="17" t="str">
        <f aca="false">LEFT(TEXT(AP5,"ddd"),1)</f>
        <v>S</v>
      </c>
      <c r="AQ6" s="17" t="str">
        <f aca="false">LEFT(TEXT(AQ5,"ddd"),1)</f>
        <v>S</v>
      </c>
      <c r="AR6" s="17" t="str">
        <f aca="false">LEFT(TEXT(AR5,"ddd"),1)</f>
        <v>M</v>
      </c>
      <c r="AS6" s="17" t="str">
        <f aca="false">LEFT(TEXT(AS5,"ddd"),1)</f>
        <v>T</v>
      </c>
      <c r="AT6" s="17" t="str">
        <f aca="false">LEFT(TEXT(AT5,"ddd"),1)</f>
        <v>W</v>
      </c>
      <c r="AU6" s="17" t="str">
        <f aca="false">LEFT(TEXT(AU5,"ddd"),1)</f>
        <v>T</v>
      </c>
      <c r="AV6" s="17" t="str">
        <f aca="false">LEFT(TEXT(AV5,"ddd"),1)</f>
        <v>F</v>
      </c>
      <c r="AW6" s="17" t="str">
        <f aca="false">LEFT(TEXT(AW5,"ddd"),1)</f>
        <v>S</v>
      </c>
      <c r="AX6" s="17" t="str">
        <f aca="false">LEFT(TEXT(AX5,"ddd"),1)</f>
        <v>S</v>
      </c>
      <c r="AY6" s="17" t="str">
        <f aca="false">LEFT(TEXT(AY5,"ddd"),1)</f>
        <v>M</v>
      </c>
      <c r="AZ6" s="17" t="str">
        <f aca="false">LEFT(TEXT(AZ5,"ddd"),1)</f>
        <v>T</v>
      </c>
      <c r="BA6" s="17" t="str">
        <f aca="false">LEFT(TEXT(BA5,"ddd"),1)</f>
        <v>W</v>
      </c>
      <c r="BB6" s="17" t="str">
        <f aca="false">LEFT(TEXT(BB5,"ddd"),1)</f>
        <v>T</v>
      </c>
      <c r="BC6" s="17" t="str">
        <f aca="false">LEFT(TEXT(BC5,"ddd"),1)</f>
        <v>F</v>
      </c>
      <c r="BD6" s="17" t="str">
        <f aca="false">LEFT(TEXT(BD5,"ddd"),1)</f>
        <v>S</v>
      </c>
      <c r="BE6" s="17" t="str">
        <f aca="false">LEFT(TEXT(BE5,"ddd"),1)</f>
        <v>S</v>
      </c>
      <c r="BF6" s="17" t="str">
        <f aca="false">LEFT(TEXT(BF5,"ddd"),1)</f>
        <v>M</v>
      </c>
      <c r="BG6" s="17" t="str">
        <f aca="false">LEFT(TEXT(BG5,"ddd"),1)</f>
        <v>T</v>
      </c>
      <c r="BH6" s="17" t="str">
        <f aca="false">LEFT(TEXT(BH5,"ddd"),1)</f>
        <v>W</v>
      </c>
      <c r="BI6" s="17" t="str">
        <f aca="false">LEFT(TEXT(BI5,"ddd"),1)</f>
        <v>T</v>
      </c>
      <c r="BJ6" s="17" t="str">
        <f aca="false">LEFT(TEXT(BJ5,"ddd"),1)</f>
        <v>F</v>
      </c>
      <c r="BK6" s="17" t="str">
        <f aca="false">LEFT(TEXT(BK5,"ddd"),1)</f>
        <v>S</v>
      </c>
      <c r="BL6" s="17" t="str">
        <f aca="false">LEFT(TEXT(BL5,"ddd"),1)</f>
        <v>S</v>
      </c>
      <c r="BM6" s="17" t="str">
        <f aca="false">LEFT(TEXT(BM5,"ddd"),1)</f>
        <v>M</v>
      </c>
      <c r="BN6" s="17" t="str">
        <f aca="false">LEFT(TEXT(BN5,"ddd"),1)</f>
        <v>T</v>
      </c>
      <c r="BO6" s="17" t="str">
        <f aca="false">LEFT(TEXT(BO5,"ddd"),1)</f>
        <v>W</v>
      </c>
      <c r="BP6" s="17" t="str">
        <f aca="false">LEFT(TEXT(BP5,"ddd"),1)</f>
        <v>T</v>
      </c>
      <c r="BQ6" s="17" t="str">
        <f aca="false">LEFT(TEXT(BQ5,"ddd"),1)</f>
        <v>F</v>
      </c>
      <c r="BR6" s="17" t="str">
        <f aca="false">LEFT(TEXT(BR5,"ddd"),1)</f>
        <v>S</v>
      </c>
      <c r="BS6" s="17" t="str">
        <f aca="false">LEFT(TEXT(BS5,"ddd"),1)</f>
        <v>S</v>
      </c>
      <c r="BT6" s="17" t="str">
        <f aca="false">LEFT(TEXT(BT5,"ddd"),1)</f>
        <v>M</v>
      </c>
      <c r="BU6" s="17" t="str">
        <f aca="false">LEFT(TEXT(BU5,"ddd"),1)</f>
        <v>T</v>
      </c>
      <c r="BV6" s="17" t="str">
        <f aca="false">LEFT(TEXT(BV5,"ddd"),1)</f>
        <v>W</v>
      </c>
      <c r="BW6" s="17" t="str">
        <f aca="false">LEFT(TEXT(BW5,"ddd"),1)</f>
        <v>T</v>
      </c>
      <c r="BX6" s="17" t="str">
        <f aca="false">LEFT(TEXT(BX5,"ddd"),1)</f>
        <v>F</v>
      </c>
      <c r="BY6" s="17" t="str">
        <f aca="false">LEFT(TEXT(BY5,"ddd"),1)</f>
        <v>S</v>
      </c>
      <c r="BZ6" s="17" t="str">
        <f aca="false">LEFT(TEXT(BZ5,"ddd"),1)</f>
        <v>S</v>
      </c>
      <c r="CA6" s="17" t="str">
        <f aca="false">LEFT(TEXT(CA5,"ddd"),1)</f>
        <v>M</v>
      </c>
      <c r="CB6" s="17" t="str">
        <f aca="false">LEFT(TEXT(CB5,"ddd"),1)</f>
        <v>T</v>
      </c>
      <c r="CC6" s="17" t="str">
        <f aca="false">LEFT(TEXT(CC5,"ddd"),1)</f>
        <v>W</v>
      </c>
      <c r="CD6" s="17" t="str">
        <f aca="false">LEFT(TEXT(CD5,"ddd"),1)</f>
        <v>T</v>
      </c>
      <c r="CE6" s="17" t="str">
        <f aca="false">LEFT(TEXT(CE5,"ddd"),1)</f>
        <v>F</v>
      </c>
      <c r="CF6" s="17" t="str">
        <f aca="false">LEFT(TEXT(CF5,"ddd"),1)</f>
        <v>S</v>
      </c>
      <c r="CG6" s="17" t="str">
        <f aca="false">LEFT(TEXT(CG5,"ddd"),1)</f>
        <v>S</v>
      </c>
      <c r="CH6" s="17" t="str">
        <f aca="false">LEFT(TEXT(CH5,"ddd"),1)</f>
        <v>M</v>
      </c>
      <c r="CI6" s="17" t="str">
        <f aca="false">LEFT(TEXT(CI5,"ddd"),1)</f>
        <v>T</v>
      </c>
      <c r="CJ6" s="17" t="str">
        <f aca="false">LEFT(TEXT(CJ5,"ddd"),1)</f>
        <v>W</v>
      </c>
      <c r="CK6" s="17" t="str">
        <f aca="false">LEFT(TEXT(CK5,"ddd"),1)</f>
        <v>T</v>
      </c>
      <c r="CL6" s="17" t="str">
        <f aca="false">LEFT(TEXT(CL5,"ddd"),1)</f>
        <v>F</v>
      </c>
      <c r="CM6" s="17" t="str">
        <f aca="false">LEFT(TEXT(CM5,"ddd"),1)</f>
        <v>S</v>
      </c>
      <c r="CN6" s="17" t="str">
        <f aca="false">LEFT(TEXT(CN5,"ddd"),1)</f>
        <v>S</v>
      </c>
      <c r="CO6" s="17" t="str">
        <f aca="false">LEFT(TEXT(CO5,"ddd"),1)</f>
        <v>M</v>
      </c>
      <c r="CP6" s="17" t="str">
        <f aca="false">LEFT(TEXT(CP5,"ddd"),1)</f>
        <v>T</v>
      </c>
      <c r="CQ6" s="17" t="str">
        <f aca="false">LEFT(TEXT(CQ5,"ddd"),1)</f>
        <v>W</v>
      </c>
      <c r="CR6" s="17" t="str">
        <f aca="false">LEFT(TEXT(CR5,"ddd"),1)</f>
        <v>T</v>
      </c>
      <c r="CS6" s="17" t="str">
        <f aca="false">LEFT(TEXT(CS5,"ddd"),1)</f>
        <v>F</v>
      </c>
      <c r="CT6" s="17" t="str">
        <f aca="false">LEFT(TEXT(CT5,"ddd"),1)</f>
        <v>S</v>
      </c>
      <c r="CU6" s="17" t="str">
        <f aca="false">LEFT(TEXT(CU5,"ddd"),1)</f>
        <v>S</v>
      </c>
      <c r="CV6" s="17" t="str">
        <f aca="false">LEFT(TEXT(CV5,"ddd"),1)</f>
        <v>M</v>
      </c>
      <c r="CW6" s="17" t="str">
        <f aca="false">LEFT(TEXT(CW5,"ddd"),1)</f>
        <v>T</v>
      </c>
      <c r="CX6" s="17" t="str">
        <f aca="false">LEFT(TEXT(CX5,"ddd"),1)</f>
        <v>W</v>
      </c>
      <c r="CY6" s="17" t="str">
        <f aca="false">LEFT(TEXT(CY5,"ddd"),1)</f>
        <v>T</v>
      </c>
      <c r="CZ6" s="17" t="str">
        <f aca="false">LEFT(TEXT(CZ5,"ddd"),1)</f>
        <v>F</v>
      </c>
      <c r="DA6" s="17" t="str">
        <f aca="false">LEFT(TEXT(DA5,"ddd"),1)</f>
        <v>S</v>
      </c>
      <c r="DB6" s="17" t="str">
        <f aca="false">LEFT(TEXT(DB5,"ddd"),1)</f>
        <v>S</v>
      </c>
    </row>
    <row r="7" s="28" customFormat="true" ht="19.7" hidden="false" customHeight="false" outlineLevel="0" collapsed="false">
      <c r="A7" s="19"/>
      <c r="B7" s="20" t="s">
        <v>13</v>
      </c>
      <c r="C7" s="21" t="s">
        <v>14</v>
      </c>
      <c r="D7" s="22" t="n">
        <v>0</v>
      </c>
      <c r="E7" s="23" t="n">
        <v>46163</v>
      </c>
      <c r="F7" s="24" t="n">
        <v>46173</v>
      </c>
      <c r="G7" s="25"/>
      <c r="H7" s="26" t="n">
        <f aca="false">IF(OR(ISBLANK(task_start),ISBLANK(task_end)),"",task_end-task_start+1)</f>
        <v>11</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row>
    <row r="8" s="28" customFormat="true" ht="19.7" hidden="false" customHeight="false" outlineLevel="0" collapsed="false">
      <c r="A8" s="29"/>
      <c r="B8" s="30" t="s">
        <v>15</v>
      </c>
      <c r="C8" s="31" t="s">
        <v>16</v>
      </c>
      <c r="D8" s="32" t="n">
        <v>0</v>
      </c>
      <c r="E8" s="33" t="n">
        <v>46163</v>
      </c>
      <c r="F8" s="34" t="n">
        <v>46165</v>
      </c>
      <c r="G8" s="30"/>
      <c r="H8" s="35"/>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row>
    <row r="9" s="28" customFormat="true" ht="19.7" hidden="false" customHeight="false" outlineLevel="0" collapsed="false">
      <c r="A9" s="29"/>
      <c r="B9" s="30" t="s">
        <v>17</v>
      </c>
      <c r="C9" s="31" t="s">
        <v>16</v>
      </c>
      <c r="D9" s="32" t="n">
        <v>0</v>
      </c>
      <c r="E9" s="33" t="n">
        <v>46165</v>
      </c>
      <c r="F9" s="34" t="n">
        <v>46167</v>
      </c>
      <c r="G9" s="30"/>
      <c r="H9" s="35"/>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row>
    <row r="10" s="28" customFormat="true" ht="19.7" hidden="false" customHeight="false" outlineLevel="0" collapsed="false">
      <c r="A10" s="19"/>
      <c r="B10" s="30" t="s">
        <v>18</v>
      </c>
      <c r="C10" s="31" t="s">
        <v>16</v>
      </c>
      <c r="D10" s="32" t="n">
        <v>0</v>
      </c>
      <c r="E10" s="33" t="n">
        <v>46167</v>
      </c>
      <c r="F10" s="34" t="n">
        <v>46171</v>
      </c>
      <c r="G10" s="37"/>
      <c r="H10" s="26" t="n">
        <f aca="false">IF(OR(ISBLANK(task_start),ISBLANK(task_end)),"",task_end-task_start+1)</f>
        <v>5</v>
      </c>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row>
    <row r="11" s="28" customFormat="true" ht="19.7" hidden="false" customHeight="false" outlineLevel="0" collapsed="false">
      <c r="A11" s="19"/>
      <c r="B11" s="30" t="s">
        <v>19</v>
      </c>
      <c r="C11" s="38" t="s">
        <v>16</v>
      </c>
      <c r="D11" s="32" t="n">
        <v>0</v>
      </c>
      <c r="E11" s="33" t="n">
        <v>46171</v>
      </c>
      <c r="F11" s="34" t="n">
        <v>46173</v>
      </c>
      <c r="G11" s="37"/>
      <c r="H11" s="26" t="n">
        <f aca="false">IF(OR(ISBLANK(task_start),ISBLANK(task_end)),"",task_end-task_start+1)</f>
        <v>3</v>
      </c>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row>
    <row r="12" s="40" customFormat="true" ht="19.7" hidden="false" customHeight="false" outlineLevel="0" collapsed="false">
      <c r="A12" s="29"/>
      <c r="B12" s="20" t="s">
        <v>20</v>
      </c>
      <c r="C12" s="21" t="s">
        <v>14</v>
      </c>
      <c r="D12" s="22"/>
      <c r="E12" s="23" t="n">
        <v>46174</v>
      </c>
      <c r="F12" s="24" t="n">
        <v>46184</v>
      </c>
      <c r="G12" s="39"/>
      <c r="H12" s="35"/>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row>
    <row r="13" s="40" customFormat="true" ht="19.7" hidden="false" customHeight="false" outlineLevel="0" collapsed="false">
      <c r="A13" s="29"/>
      <c r="B13" s="30" t="s">
        <v>21</v>
      </c>
      <c r="C13" s="31" t="s">
        <v>16</v>
      </c>
      <c r="D13" s="30"/>
      <c r="E13" s="33" t="n">
        <v>46174</v>
      </c>
      <c r="F13" s="33" t="n">
        <v>46175</v>
      </c>
      <c r="G13" s="30"/>
      <c r="H13" s="35"/>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row>
    <row r="14" s="28" customFormat="true" ht="19.7" hidden="false" customHeight="false" outlineLevel="0" collapsed="false">
      <c r="A14" s="19"/>
      <c r="B14" s="30" t="s">
        <v>22</v>
      </c>
      <c r="C14" s="38" t="s">
        <v>16</v>
      </c>
      <c r="D14" s="32"/>
      <c r="E14" s="33" t="n">
        <v>46174</v>
      </c>
      <c r="F14" s="34" t="n">
        <v>46178</v>
      </c>
      <c r="G14" s="37"/>
      <c r="H14" s="26" t="n">
        <f aca="false">IF(OR(ISBLANK(task_start),ISBLANK(task_end)),"",task_end-task_start+1)</f>
        <v>5</v>
      </c>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row>
    <row r="15" s="28" customFormat="true" ht="19.7" hidden="false" customHeight="false" outlineLevel="0" collapsed="false">
      <c r="A15" s="19"/>
      <c r="B15" s="30" t="s">
        <v>23</v>
      </c>
      <c r="C15" s="38" t="s">
        <v>16</v>
      </c>
      <c r="D15" s="32"/>
      <c r="E15" s="33" t="n">
        <v>46178</v>
      </c>
      <c r="F15" s="34" t="n">
        <v>46181</v>
      </c>
      <c r="G15" s="37"/>
      <c r="H15" s="26"/>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row>
    <row r="16" s="28" customFormat="true" ht="19.7" hidden="false" customHeight="false" outlineLevel="0" collapsed="false">
      <c r="A16" s="19"/>
      <c r="B16" s="30" t="s">
        <v>24</v>
      </c>
      <c r="C16" s="38" t="s">
        <v>16</v>
      </c>
      <c r="D16" s="32"/>
      <c r="E16" s="33" t="n">
        <v>46181</v>
      </c>
      <c r="F16" s="34" t="n">
        <v>46183</v>
      </c>
      <c r="G16" s="37"/>
      <c r="H16" s="26"/>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row>
    <row r="17" s="28" customFormat="true" ht="20.25" hidden="false" customHeight="true" outlineLevel="0" collapsed="false">
      <c r="A17" s="19"/>
      <c r="B17" s="20"/>
      <c r="C17" s="21"/>
      <c r="D17" s="41"/>
      <c r="E17" s="42"/>
      <c r="F17" s="43"/>
      <c r="G17" s="25"/>
      <c r="H17" s="26" t="str">
        <f aca="false">IF(OR(ISBLANK(task_start),ISBLANK(task_end)),"",task_end-task_start+1)</f>
        <v/>
      </c>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row>
    <row r="18" s="28" customFormat="true" ht="19.7" hidden="false" customHeight="false" outlineLevel="0" collapsed="false">
      <c r="A18" s="19"/>
      <c r="B18" s="30"/>
      <c r="C18" s="38"/>
      <c r="D18" s="32"/>
      <c r="E18" s="33"/>
      <c r="F18" s="34"/>
      <c r="G18" s="37"/>
      <c r="H18" s="26" t="str">
        <f aca="false">IF(OR(ISBLANK(task_start),ISBLANK(task_end)),"",task_end-task_start+1)</f>
        <v/>
      </c>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row>
    <row r="19" s="28" customFormat="true" ht="19.7" hidden="false" customHeight="false" outlineLevel="0" collapsed="false">
      <c r="A19" s="19"/>
      <c r="B19" s="30"/>
      <c r="C19" s="38"/>
      <c r="D19" s="32"/>
      <c r="E19" s="33"/>
      <c r="F19" s="34"/>
      <c r="G19" s="37"/>
      <c r="H19" s="26" t="str">
        <f aca="false">IF(OR(ISBLANK(task_start),ISBLANK(task_end)),"",task_end-task_start+1)</f>
        <v/>
      </c>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row>
    <row r="20" s="28" customFormat="true" ht="19.7" hidden="false" customHeight="false" outlineLevel="0" collapsed="false">
      <c r="A20" s="19"/>
      <c r="B20" s="30"/>
      <c r="C20" s="38"/>
      <c r="D20" s="32"/>
      <c r="E20" s="33"/>
      <c r="F20" s="34"/>
      <c r="G20" s="37"/>
      <c r="H20" s="26"/>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row>
    <row r="21" s="28" customFormat="true" ht="19.7" hidden="false" customHeight="false" outlineLevel="0" collapsed="false">
      <c r="A21" s="19"/>
      <c r="B21" s="30"/>
      <c r="C21" s="38"/>
      <c r="D21" s="32"/>
      <c r="E21" s="33"/>
      <c r="F21" s="34"/>
      <c r="G21" s="37"/>
      <c r="H21" s="26"/>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row>
    <row r="22" s="28" customFormat="true" ht="19.7" hidden="false" customHeight="false" outlineLevel="0" collapsed="false">
      <c r="A22" s="19"/>
      <c r="B22" s="30"/>
      <c r="C22" s="38"/>
      <c r="D22" s="32"/>
      <c r="E22" s="33"/>
      <c r="F22" s="34"/>
      <c r="G22" s="37"/>
      <c r="H22" s="26" t="str">
        <f aca="false">IF(OR(ISBLANK(task_start),ISBLANK(task_end)),"",task_end-task_start+1)</f>
        <v/>
      </c>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row>
    <row r="23" s="28" customFormat="true" ht="19.7" hidden="false" customHeight="false" outlineLevel="0" collapsed="false">
      <c r="A23" s="19"/>
      <c r="B23" s="30"/>
      <c r="C23" s="38"/>
      <c r="D23" s="32"/>
      <c r="E23" s="33"/>
      <c r="F23" s="34"/>
      <c r="G23" s="37"/>
      <c r="H23" s="26"/>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row>
    <row r="24" s="28" customFormat="true" ht="19.7" hidden="false" customHeight="false" outlineLevel="0" collapsed="false">
      <c r="A24" s="19"/>
      <c r="B24" s="30"/>
      <c r="C24" s="38"/>
      <c r="D24" s="32"/>
      <c r="E24" s="33"/>
      <c r="F24" s="34"/>
      <c r="G24" s="37"/>
      <c r="H24" s="26"/>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row>
    <row r="25" s="28" customFormat="true" ht="19.7" hidden="false" customHeight="false" outlineLevel="0" collapsed="false">
      <c r="A25" s="19"/>
      <c r="B25" s="30"/>
      <c r="C25" s="38"/>
      <c r="D25" s="32"/>
      <c r="E25" s="33"/>
      <c r="F25" s="34"/>
      <c r="G25" s="37"/>
      <c r="H25" s="26"/>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row>
    <row r="26" s="28" customFormat="true" ht="19.7" hidden="false" customHeight="false" outlineLevel="0" collapsed="false">
      <c r="A26" s="19"/>
      <c r="B26" s="30"/>
      <c r="C26" s="38"/>
      <c r="D26" s="32"/>
      <c r="E26" s="33"/>
      <c r="F26" s="34"/>
      <c r="G26" s="37"/>
      <c r="H26" s="26"/>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row>
    <row r="27" s="28" customFormat="true" ht="19.7" hidden="false" customHeight="false" outlineLevel="0" collapsed="false">
      <c r="A27" s="19"/>
      <c r="B27" s="20"/>
      <c r="C27" s="21"/>
      <c r="D27" s="41"/>
      <c r="E27" s="42"/>
      <c r="F27" s="43"/>
      <c r="G27" s="25"/>
      <c r="H27" s="26"/>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row>
    <row r="28" s="28" customFormat="true" ht="19.7" hidden="false" customHeight="false" outlineLevel="0" collapsed="false">
      <c r="A28" s="19"/>
      <c r="B28" s="30"/>
      <c r="C28" s="38"/>
      <c r="D28" s="32"/>
      <c r="E28" s="33"/>
      <c r="F28" s="34"/>
      <c r="G28" s="37"/>
      <c r="H28" s="26" t="str">
        <f aca="false">IF(OR(ISBLANK(task_start),ISBLANK(task_end)),"",task_end-task_start+1)</f>
        <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row>
    <row r="29" s="28" customFormat="true" ht="19.7" hidden="false" customHeight="false" outlineLevel="0" collapsed="false">
      <c r="A29" s="19"/>
      <c r="B29" s="30"/>
      <c r="C29" s="38"/>
      <c r="D29" s="32"/>
      <c r="E29" s="33"/>
      <c r="F29" s="34"/>
      <c r="G29" s="37"/>
      <c r="H29" s="26" t="str">
        <f aca="false">IF(OR(ISBLANK(task_start),ISBLANK(task_end)),"",task_end-task_start+1)</f>
        <v/>
      </c>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row>
    <row r="30" s="28" customFormat="true" ht="19.7" hidden="false" customHeight="false" outlineLevel="0" collapsed="false">
      <c r="A30" s="19"/>
      <c r="B30" s="30"/>
      <c r="C30" s="38"/>
      <c r="D30" s="32"/>
      <c r="E30" s="33"/>
      <c r="F30" s="34"/>
      <c r="G30" s="37"/>
      <c r="H30" s="26"/>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row>
    <row r="31" s="28" customFormat="true" ht="19.7" hidden="false" customHeight="false" outlineLevel="0" collapsed="false">
      <c r="A31" s="19"/>
      <c r="B31" s="30"/>
      <c r="C31" s="38"/>
      <c r="D31" s="32"/>
      <c r="E31" s="33"/>
      <c r="F31" s="34"/>
      <c r="G31" s="37"/>
      <c r="H31" s="26"/>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row>
    <row r="32" s="28" customFormat="true" ht="19.7" hidden="false" customHeight="false" outlineLevel="0" collapsed="false">
      <c r="A32" s="19"/>
      <c r="B32" s="30"/>
      <c r="C32" s="38"/>
      <c r="D32" s="32"/>
      <c r="E32" s="33"/>
      <c r="F32" s="34"/>
      <c r="G32" s="37"/>
      <c r="H32" s="26" t="str">
        <f aca="false">IF(OR(ISBLANK(task_start),ISBLANK(task_end)),"",task_end-task_start+1)</f>
        <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row>
    <row r="33" s="28" customFormat="true" ht="19.7" hidden="false" customHeight="false" outlineLevel="0" collapsed="false">
      <c r="A33" s="19"/>
      <c r="B33" s="30"/>
      <c r="C33" s="38"/>
      <c r="D33" s="32"/>
      <c r="E33" s="33"/>
      <c r="F33" s="34"/>
      <c r="G33" s="37"/>
      <c r="H33" s="26" t="str">
        <f aca="false">IF(OR(ISBLANK(task_start),ISBLANK(task_end)),"",task_end-task_start+1)</f>
        <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row>
    <row r="34" s="28" customFormat="true" ht="19.7" hidden="false" customHeight="false" outlineLevel="0" collapsed="false">
      <c r="A34" s="19"/>
      <c r="B34" s="30"/>
      <c r="C34" s="38"/>
      <c r="D34" s="32"/>
      <c r="E34" s="33"/>
      <c r="F34" s="34"/>
      <c r="G34" s="37"/>
      <c r="H34" s="26"/>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row>
    <row r="35" s="28" customFormat="true" ht="19.7" hidden="false" customHeight="false" outlineLevel="0" collapsed="false">
      <c r="A35" s="19"/>
      <c r="B35" s="30"/>
      <c r="C35" s="38"/>
      <c r="D35" s="32"/>
      <c r="E35" s="33"/>
      <c r="F35" s="34"/>
      <c r="G35" s="37"/>
      <c r="H35" s="26" t="str">
        <f aca="false">IF(OR(ISBLANK(task_start),ISBLANK(task_end)),"",task_end-task_start+1)</f>
        <v/>
      </c>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row>
    <row r="36" s="28" customFormat="true" ht="19.7" hidden="false" customHeight="false" outlineLevel="0" collapsed="false">
      <c r="A36" s="19"/>
      <c r="B36" s="20"/>
      <c r="C36" s="21"/>
      <c r="D36" s="41"/>
      <c r="E36" s="42"/>
      <c r="F36" s="43"/>
      <c r="G36" s="25"/>
      <c r="H36" s="26"/>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row>
    <row r="37" s="28" customFormat="true" ht="19.7" hidden="false" customHeight="false" outlineLevel="0" collapsed="false">
      <c r="A37" s="19"/>
      <c r="B37" s="30"/>
      <c r="C37" s="38"/>
      <c r="D37" s="32"/>
      <c r="E37" s="33"/>
      <c r="F37" s="34"/>
      <c r="G37" s="37"/>
      <c r="H37" s="26"/>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row>
    <row r="38" s="28" customFormat="true" ht="19.7" hidden="false" customHeight="false" outlineLevel="0" collapsed="false">
      <c r="A38" s="19"/>
      <c r="B38" s="30"/>
      <c r="C38" s="38"/>
      <c r="D38" s="32"/>
      <c r="E38" s="33"/>
      <c r="F38" s="34"/>
      <c r="G38" s="37"/>
      <c r="H38" s="26"/>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row>
    <row r="39" s="28" customFormat="true" ht="19.7" hidden="false" customHeight="false" outlineLevel="0" collapsed="false">
      <c r="A39" s="19"/>
      <c r="B39" s="30"/>
      <c r="C39" s="38"/>
      <c r="D39" s="32"/>
      <c r="E39" s="33"/>
      <c r="F39" s="34"/>
      <c r="G39" s="37"/>
      <c r="H39" s="26"/>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row>
    <row r="40" s="28" customFormat="true" ht="19.7" hidden="false" customHeight="false" outlineLevel="0" collapsed="false">
      <c r="A40" s="19"/>
      <c r="B40" s="30"/>
      <c r="C40" s="38"/>
      <c r="D40" s="32"/>
      <c r="E40" s="33"/>
      <c r="F40" s="34"/>
      <c r="G40" s="37"/>
      <c r="H40" s="26"/>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row>
    <row r="41" s="28" customFormat="true" ht="19.7" hidden="false" customHeight="false" outlineLevel="0" collapsed="false">
      <c r="A41" s="19"/>
      <c r="B41" s="30"/>
      <c r="C41" s="38"/>
      <c r="D41" s="32"/>
      <c r="E41" s="33"/>
      <c r="F41" s="34"/>
      <c r="G41" s="37"/>
      <c r="H41" s="26"/>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row>
    <row r="42" s="28" customFormat="true" ht="19.7" hidden="false" customHeight="false" outlineLevel="0" collapsed="false">
      <c r="A42" s="19"/>
      <c r="B42" s="30"/>
      <c r="C42" s="38"/>
      <c r="D42" s="32"/>
      <c r="E42" s="33"/>
      <c r="F42" s="34"/>
      <c r="G42" s="37"/>
      <c r="H42" s="26"/>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row>
    <row r="43" s="28" customFormat="true" ht="19.7" hidden="false" customHeight="false" outlineLevel="0" collapsed="false">
      <c r="A43" s="19"/>
      <c r="B43" s="30"/>
      <c r="C43" s="38"/>
      <c r="D43" s="32"/>
      <c r="E43" s="33"/>
      <c r="F43" s="34"/>
      <c r="G43" s="37"/>
      <c r="H43" s="26"/>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row>
    <row r="44" s="28" customFormat="true" ht="19.7" hidden="false" customHeight="false" outlineLevel="0" collapsed="false">
      <c r="A44" s="19"/>
      <c r="B44" s="20"/>
      <c r="C44" s="21"/>
      <c r="D44" s="41"/>
      <c r="E44" s="42"/>
      <c r="F44" s="43"/>
      <c r="G44" s="25"/>
      <c r="H44" s="26"/>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row>
    <row r="45" s="28" customFormat="true" ht="19.7" hidden="false" customHeight="false" outlineLevel="0" collapsed="false">
      <c r="A45" s="19"/>
      <c r="B45" s="30"/>
      <c r="C45" s="38"/>
      <c r="D45" s="32"/>
      <c r="E45" s="33"/>
      <c r="F45" s="34"/>
      <c r="G45" s="37"/>
      <c r="H45" s="26"/>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row>
    <row r="46" s="28" customFormat="true" ht="19.7" hidden="false" customHeight="false" outlineLevel="0" collapsed="false">
      <c r="A46" s="19"/>
      <c r="B46" s="30"/>
      <c r="C46" s="38"/>
      <c r="D46" s="32"/>
      <c r="E46" s="33"/>
      <c r="F46" s="34"/>
      <c r="G46" s="37"/>
      <c r="H46" s="26"/>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row>
    <row r="47" s="28" customFormat="true" ht="19.7" hidden="false" customHeight="false" outlineLevel="0" collapsed="false">
      <c r="A47" s="19"/>
      <c r="B47" s="30"/>
      <c r="C47" s="38"/>
      <c r="D47" s="32"/>
      <c r="E47" s="33"/>
      <c r="F47" s="34"/>
      <c r="G47" s="37"/>
      <c r="H47" s="26"/>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row>
    <row r="48" s="28" customFormat="true" ht="19.7" hidden="false" customHeight="false" outlineLevel="0" collapsed="false">
      <c r="A48" s="19"/>
      <c r="B48" s="30"/>
      <c r="C48" s="38"/>
      <c r="D48" s="32"/>
      <c r="E48" s="33"/>
      <c r="F48" s="34"/>
      <c r="G48" s="37"/>
      <c r="H48" s="26"/>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row>
    <row r="49" s="28" customFormat="true" ht="19.7" hidden="false" customHeight="false" outlineLevel="0" collapsed="false">
      <c r="A49" s="19"/>
      <c r="B49" s="30"/>
      <c r="C49" s="38"/>
      <c r="D49" s="32"/>
      <c r="E49" s="33"/>
      <c r="F49" s="34"/>
      <c r="G49" s="37"/>
      <c r="H49" s="26"/>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row>
    <row r="50" s="28" customFormat="true" ht="19.7" hidden="false" customHeight="false" outlineLevel="0" collapsed="false">
      <c r="A50" s="19"/>
      <c r="B50" s="30"/>
      <c r="C50" s="38"/>
      <c r="D50" s="32"/>
      <c r="E50" s="33"/>
      <c r="F50" s="34"/>
      <c r="G50" s="37"/>
      <c r="H50" s="26"/>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row>
    <row r="51" s="28" customFormat="true" ht="19.7" hidden="false" customHeight="false" outlineLevel="0" collapsed="false">
      <c r="A51" s="19"/>
      <c r="B51" s="30"/>
      <c r="C51" s="44"/>
      <c r="D51" s="45"/>
      <c r="E51" s="33"/>
      <c r="F51" s="34"/>
      <c r="G51" s="44"/>
      <c r="H51" s="26" t="str">
        <f aca="false">IF(OR(ISBLANK(task_start),ISBLANK(task_end)),"",task_end-task_start+1)</f>
        <v/>
      </c>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row>
    <row r="52" s="28" customFormat="true" ht="19.7" hidden="false" customHeight="false" outlineLevel="0" collapsed="false">
      <c r="A52" s="19"/>
      <c r="B52" s="20"/>
      <c r="C52" s="21"/>
      <c r="D52" s="41"/>
      <c r="E52" s="42"/>
      <c r="F52" s="43"/>
      <c r="G52" s="25"/>
      <c r="H52" s="26"/>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row>
    <row r="53" s="28" customFormat="true" ht="19.7" hidden="false" customHeight="false" outlineLevel="0" collapsed="false">
      <c r="A53" s="19"/>
      <c r="B53" s="30"/>
      <c r="C53" s="38"/>
      <c r="D53" s="32"/>
      <c r="E53" s="33"/>
      <c r="F53" s="34"/>
      <c r="G53" s="37"/>
      <c r="H53" s="26"/>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row>
    <row r="54" s="28" customFormat="true" ht="19.7" hidden="false" customHeight="false" outlineLevel="0" collapsed="false">
      <c r="A54" s="19"/>
      <c r="B54" s="30"/>
      <c r="C54" s="38"/>
      <c r="D54" s="32"/>
      <c r="E54" s="33"/>
      <c r="F54" s="34"/>
      <c r="G54" s="37"/>
      <c r="H54" s="26"/>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row>
    <row r="55" s="28" customFormat="true" ht="19.7" hidden="false" customHeight="false" outlineLevel="0" collapsed="false">
      <c r="A55" s="19"/>
      <c r="B55" s="30"/>
      <c r="C55" s="38"/>
      <c r="D55" s="32"/>
      <c r="E55" s="33"/>
      <c r="F55" s="34"/>
      <c r="G55" s="37"/>
      <c r="H55" s="26"/>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row>
    <row r="56" s="28" customFormat="true" ht="19.7" hidden="false" customHeight="false" outlineLevel="0" collapsed="false">
      <c r="A56" s="19"/>
      <c r="B56" s="30"/>
      <c r="C56" s="38"/>
      <c r="D56" s="32"/>
      <c r="E56" s="33"/>
      <c r="F56" s="34"/>
      <c r="G56" s="37"/>
      <c r="H56" s="26"/>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row>
    <row r="57" s="28" customFormat="true" ht="19.7" hidden="false" customHeight="false" outlineLevel="0" collapsed="false">
      <c r="A57" s="19"/>
      <c r="B57" s="30"/>
      <c r="C57" s="38"/>
      <c r="D57" s="32"/>
      <c r="E57" s="33"/>
      <c r="F57" s="34"/>
      <c r="G57" s="37"/>
      <c r="H57" s="26"/>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row>
    <row r="58" s="28" customFormat="true" ht="19.7" hidden="false" customHeight="false" outlineLevel="0" collapsed="false">
      <c r="A58" s="19"/>
      <c r="B58" s="30"/>
      <c r="C58" s="38"/>
      <c r="D58" s="32"/>
      <c r="E58" s="33"/>
      <c r="F58" s="34"/>
      <c r="G58" s="37"/>
      <c r="H58" s="26"/>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row>
    <row r="59" s="28" customFormat="true" ht="19.7" hidden="false" customHeight="false" outlineLevel="0" collapsed="false">
      <c r="A59" s="19"/>
      <c r="B59" s="30"/>
      <c r="C59" s="44"/>
      <c r="D59" s="45"/>
      <c r="E59" s="33"/>
      <c r="F59" s="34"/>
      <c r="G59" s="44"/>
      <c r="H59" s="26"/>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row>
    <row r="60" s="28" customFormat="true" ht="19.7" hidden="false" customHeight="false" outlineLevel="0" collapsed="false">
      <c r="A60" s="19"/>
      <c r="B60" s="20"/>
      <c r="C60" s="21"/>
      <c r="D60" s="41"/>
      <c r="E60" s="42"/>
      <c r="F60" s="43"/>
      <c r="G60" s="25"/>
      <c r="H60" s="26" t="str">
        <f aca="false">IF(OR(ISBLANK(task_start),ISBLANK(task_end)),"",task_end-task_start+1)</f>
        <v/>
      </c>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row>
    <row r="61" s="28" customFormat="true" ht="19.7" hidden="false" customHeight="false" outlineLevel="0" collapsed="false">
      <c r="A61" s="19"/>
      <c r="B61" s="30"/>
      <c r="C61" s="38"/>
      <c r="D61" s="32"/>
      <c r="E61" s="33"/>
      <c r="F61" s="34"/>
      <c r="G61" s="37"/>
      <c r="H61" s="26" t="str">
        <f aca="false">IF(OR(ISBLANK(task_start),ISBLANK(task_end)),"",task_end-task_start+1)</f>
        <v/>
      </c>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row>
    <row r="62" s="28" customFormat="true" ht="19.7" hidden="false" customHeight="false" outlineLevel="0" collapsed="false">
      <c r="A62" s="19"/>
      <c r="B62" s="30"/>
      <c r="C62" s="38"/>
      <c r="D62" s="32"/>
      <c r="E62" s="33"/>
      <c r="F62" s="34"/>
      <c r="G62" s="37"/>
      <c r="H62" s="26" t="str">
        <f aca="false">IF(OR(ISBLANK(task_start),ISBLANK(task_end)),"",task_end-task_start+1)</f>
        <v/>
      </c>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row>
    <row r="63" s="28" customFormat="true" ht="19.7" hidden="false" customHeight="false" outlineLevel="0" collapsed="false">
      <c r="A63" s="19"/>
      <c r="B63" s="30"/>
      <c r="C63" s="38"/>
      <c r="D63" s="32"/>
      <c r="E63" s="33"/>
      <c r="F63" s="34"/>
      <c r="G63" s="37"/>
      <c r="H63" s="26"/>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row>
    <row r="64" s="28" customFormat="true" ht="19.7" hidden="false" customHeight="false" outlineLevel="0" collapsed="false">
      <c r="A64" s="19"/>
      <c r="B64" s="30"/>
      <c r="C64" s="38"/>
      <c r="D64" s="32"/>
      <c r="E64" s="33"/>
      <c r="F64" s="34"/>
      <c r="G64" s="37"/>
      <c r="H64" s="26" t="str">
        <f aca="false">IF(OR(ISBLANK(task_start),ISBLANK(task_end)),"",task_end-task_start+1)</f>
        <v/>
      </c>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row>
    <row r="65" s="28" customFormat="true" ht="19.7" hidden="false" customHeight="false" outlineLevel="0" collapsed="false">
      <c r="A65" s="19"/>
      <c r="B65" s="30"/>
      <c r="C65" s="38"/>
      <c r="D65" s="32"/>
      <c r="E65" s="33"/>
      <c r="F65" s="34"/>
      <c r="G65" s="37"/>
      <c r="H65" s="26" t="str">
        <f aca="false">IF(OR(ISBLANK(task_start),ISBLANK(task_end)),"",task_end-task_start+1)</f>
        <v/>
      </c>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row>
    <row r="66" s="28" customFormat="true" ht="19.7" hidden="false" customHeight="false" outlineLevel="0" collapsed="false">
      <c r="A66" s="19"/>
      <c r="B66" s="30"/>
      <c r="C66" s="38"/>
      <c r="D66" s="32"/>
      <c r="E66" s="33"/>
      <c r="F66" s="34"/>
      <c r="G66" s="37"/>
      <c r="H66" s="26"/>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row>
    <row r="67" s="28" customFormat="true" ht="19.7" hidden="false" customHeight="false" outlineLevel="0" collapsed="false">
      <c r="A67" s="19"/>
      <c r="B67" s="30"/>
      <c r="C67" s="38"/>
      <c r="D67" s="32"/>
      <c r="E67" s="33"/>
      <c r="F67" s="34"/>
      <c r="G67" s="37"/>
      <c r="H67" s="26" t="str">
        <f aca="false">IF(OR(ISBLANK(task_start),ISBLANK(task_end)),"",task_end-task_start+1)</f>
        <v/>
      </c>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row>
    <row r="68" s="28" customFormat="true" ht="19.7" hidden="false" customHeight="false" outlineLevel="0" collapsed="false">
      <c r="A68" s="19"/>
      <c r="B68" s="20"/>
      <c r="C68" s="21"/>
      <c r="D68" s="41"/>
      <c r="E68" s="42"/>
      <c r="F68" s="43"/>
      <c r="G68" s="25"/>
      <c r="H68" s="26" t="str">
        <f aca="false">IF(OR(ISBLANK(task_start),ISBLANK(task_end)),"",task_end-task_start+1)</f>
        <v/>
      </c>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c r="DB68" s="27"/>
    </row>
    <row r="69" s="28" customFormat="true" ht="19.7" hidden="false" customHeight="false" outlineLevel="0" collapsed="false">
      <c r="A69" s="19"/>
      <c r="B69" s="30"/>
      <c r="C69" s="38"/>
      <c r="D69" s="32"/>
      <c r="E69" s="33"/>
      <c r="F69" s="34"/>
      <c r="G69" s="37"/>
      <c r="H69" s="26" t="str">
        <f aca="false">IF(OR(ISBLANK(task_start),ISBLANK(task_end)),"",task_end-task_start+1)</f>
        <v/>
      </c>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c r="CU69" s="27"/>
      <c r="CV69" s="27"/>
      <c r="CW69" s="27"/>
      <c r="CX69" s="27"/>
      <c r="CY69" s="27"/>
      <c r="CZ69" s="27"/>
      <c r="DA69" s="27"/>
      <c r="DB69" s="27"/>
    </row>
    <row r="70" s="28" customFormat="true" ht="19.7" hidden="false" customHeight="false" outlineLevel="0" collapsed="false">
      <c r="A70" s="19"/>
      <c r="B70" s="30"/>
      <c r="C70" s="38"/>
      <c r="D70" s="32"/>
      <c r="E70" s="33"/>
      <c r="F70" s="34"/>
      <c r="G70" s="37"/>
      <c r="H70" s="26" t="str">
        <f aca="false">IF(OR(ISBLANK(task_start),ISBLANK(task_end)),"",task_end-task_start+1)</f>
        <v/>
      </c>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c r="CU70" s="27"/>
      <c r="CV70" s="27"/>
      <c r="CW70" s="27"/>
      <c r="CX70" s="27"/>
      <c r="CY70" s="27"/>
      <c r="CZ70" s="27"/>
      <c r="DA70" s="27"/>
      <c r="DB70" s="27"/>
    </row>
    <row r="71" s="28" customFormat="true" ht="19.7" hidden="false" customHeight="false" outlineLevel="0" collapsed="false">
      <c r="A71" s="19"/>
      <c r="B71" s="30"/>
      <c r="C71" s="38"/>
      <c r="D71" s="32"/>
      <c r="E71" s="33"/>
      <c r="F71" s="34"/>
      <c r="G71" s="37"/>
      <c r="H71" s="26" t="str">
        <f aca="false">IF(OR(ISBLANK(task_start),ISBLANK(task_end)),"",task_end-task_start+1)</f>
        <v/>
      </c>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c r="CU71" s="27"/>
      <c r="CV71" s="27"/>
      <c r="CW71" s="27"/>
      <c r="CX71" s="27"/>
      <c r="CY71" s="27"/>
      <c r="CZ71" s="27"/>
      <c r="DA71" s="27"/>
      <c r="DB71" s="27"/>
    </row>
    <row r="72" s="28" customFormat="true" ht="19.7" hidden="false" customHeight="false" outlineLevel="0" collapsed="false">
      <c r="A72" s="19"/>
      <c r="B72" s="30"/>
      <c r="C72" s="38"/>
      <c r="D72" s="32"/>
      <c r="E72" s="33"/>
      <c r="F72" s="34"/>
      <c r="G72" s="37"/>
      <c r="H72" s="26" t="str">
        <f aca="false">IF(OR(ISBLANK(task_start),ISBLANK(task_end)),"",task_end-task_start+1)</f>
        <v/>
      </c>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c r="CU72" s="27"/>
      <c r="CV72" s="27"/>
      <c r="CW72" s="27"/>
      <c r="CX72" s="27"/>
      <c r="CY72" s="27"/>
      <c r="CZ72" s="27"/>
      <c r="DA72" s="27"/>
      <c r="DB72" s="27"/>
    </row>
    <row r="73" s="28" customFormat="true" ht="19.7" hidden="false" customHeight="false" outlineLevel="0" collapsed="false">
      <c r="A73" s="19"/>
      <c r="B73" s="30"/>
      <c r="C73" s="38"/>
      <c r="D73" s="32"/>
      <c r="E73" s="33"/>
      <c r="F73" s="34"/>
      <c r="G73" s="37"/>
      <c r="H73" s="26" t="str">
        <f aca="false">IF(OR(ISBLANK(task_start),ISBLANK(task_end)),"",task_end-task_start+1)</f>
        <v/>
      </c>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c r="CU73" s="27"/>
      <c r="CV73" s="27"/>
      <c r="CW73" s="27"/>
      <c r="CX73" s="27"/>
      <c r="CY73" s="27"/>
      <c r="CZ73" s="27"/>
      <c r="DA73" s="27"/>
      <c r="DB73" s="27"/>
    </row>
    <row r="74" s="28" customFormat="true" ht="19.7" hidden="false" customHeight="false" outlineLevel="0" collapsed="false">
      <c r="A74" s="19"/>
      <c r="B74" s="30"/>
      <c r="C74" s="38"/>
      <c r="D74" s="32"/>
      <c r="E74" s="33"/>
      <c r="F74" s="34"/>
      <c r="G74" s="37"/>
      <c r="H74" s="26" t="str">
        <f aca="false">IF(OR(ISBLANK(task_start),ISBLANK(task_end)),"",task_end-task_start+1)</f>
        <v/>
      </c>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c r="CU74" s="27"/>
      <c r="CV74" s="27"/>
      <c r="CW74" s="27"/>
      <c r="CX74" s="27"/>
      <c r="CY74" s="27"/>
      <c r="CZ74" s="27"/>
      <c r="DA74" s="27"/>
      <c r="DB74" s="27"/>
    </row>
    <row r="75" s="28" customFormat="true" ht="19.7" hidden="false" customHeight="false" outlineLevel="0" collapsed="false">
      <c r="A75" s="19"/>
      <c r="B75" s="30"/>
      <c r="C75" s="38"/>
      <c r="D75" s="32"/>
      <c r="E75" s="33"/>
      <c r="F75" s="34"/>
      <c r="G75" s="37"/>
      <c r="H75" s="26" t="str">
        <f aca="false">IF(OR(ISBLANK(task_start),ISBLANK(task_end)),"",task_end-task_start+1)</f>
        <v/>
      </c>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c r="CU75" s="27"/>
      <c r="CV75" s="27"/>
      <c r="CW75" s="27"/>
      <c r="CX75" s="27"/>
      <c r="CY75" s="27"/>
      <c r="CZ75" s="27"/>
      <c r="DA75" s="27"/>
      <c r="DB75" s="27"/>
    </row>
    <row r="76" s="49" customFormat="true" ht="19.7" hidden="false" customHeight="false" outlineLevel="0" collapsed="false">
      <c r="A76" s="46"/>
      <c r="B76" s="30"/>
      <c r="C76" s="38"/>
      <c r="D76" s="32"/>
      <c r="E76" s="33"/>
      <c r="F76" s="34"/>
      <c r="G76" s="37"/>
      <c r="H76" s="47" t="str">
        <f aca="false">IF(OR(ISBLANK(task_start),ISBLANK(task_end)),"",task_end-task_start+1)</f>
        <v/>
      </c>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row>
    <row r="77" customFormat="false" ht="19.7" hidden="false" customHeight="false" outlineLevel="0" collapsed="false">
      <c r="A77" s="19"/>
      <c r="G77" s="3"/>
    </row>
    <row r="78" customFormat="false" ht="14.25" hidden="false" customHeight="false" outlineLevel="0" collapsed="false">
      <c r="B78" s="50"/>
      <c r="C78" s="50"/>
      <c r="F78" s="51" t="n">
        <v>43113</v>
      </c>
    </row>
    <row r="79" customFormat="false" ht="14.25" hidden="false" customHeight="false" outlineLevel="0" collapsed="false">
      <c r="B79" s="52"/>
      <c r="C79" s="53"/>
    </row>
    <row r="80" customFormat="false" ht="14.25" hidden="false" customHeight="false" outlineLevel="0" collapsed="false">
      <c r="B80" s="54"/>
    </row>
  </sheetData>
  <mergeCells count="17">
    <mergeCell ref="E1:F1"/>
    <mergeCell ref="E2:F2"/>
    <mergeCell ref="E3:F3"/>
    <mergeCell ref="I4:O4"/>
    <mergeCell ref="P4:V4"/>
    <mergeCell ref="W4:AC4"/>
    <mergeCell ref="AD4:AJ4"/>
    <mergeCell ref="AK4:AQ4"/>
    <mergeCell ref="AR4:AX4"/>
    <mergeCell ref="AY4:BE4"/>
    <mergeCell ref="BF4:BL4"/>
    <mergeCell ref="BM4:BS4"/>
    <mergeCell ref="BT4:BZ4"/>
    <mergeCell ref="CA4:CG4"/>
    <mergeCell ref="CH4:CN4"/>
    <mergeCell ref="CO4:CU4"/>
    <mergeCell ref="CV4:DB4"/>
  </mergeCells>
  <conditionalFormatting sqref="I7:DB76">
    <cfRule type="expression" priority="2" aboveAverage="0" equalAverage="0" bottom="0" percent="0" rank="0" text="" dxfId="0">
      <formula>AND(task_start&lt;=I$5,ROUNDDOWN((task_end-task_start+1)*task_progress,0)+task_start-1&gt;=I$5)</formula>
    </cfRule>
    <cfRule type="expression" priority="3" aboveAverage="0" equalAverage="0" bottom="0" percent="0" rank="0" text="" dxfId="1">
      <formula>AND(task_end&gt;=I$5,task_start&lt;I$5+1)</formula>
    </cfRule>
  </conditionalFormatting>
  <conditionalFormatting sqref="I5:DB76">
    <cfRule type="expression" priority="4" aboveAverage="0" equalAverage="0" bottom="0" percent="0" rank="0" text="" dxfId="2">
      <formula>AND(today&gt;=I$5,today&lt;I$5+1)</formula>
    </cfRule>
  </conditionalFormatting>
  <conditionalFormatting sqref="D14:D76 D7:D12">
    <cfRule type="dataBar" priority="5">
      <dataBar showValue="1" minLength="10" maxLength="90">
        <cfvo type="num" val="0"/>
        <cfvo type="num" val="1"/>
        <color rgb="FFBFBFBF"/>
      </dataBar>
      <extLst>
        <ext xmlns:x14="http://schemas.microsoft.com/office/spreadsheetml/2009/9/main" uri="{B025F937-C7B1-47D3-B67F-A62EFF666E3E}">
          <x14:id>{BD3ED25D-22BD-4E4F-82BA-42E23424A543}</x14:id>
        </ext>
      </extLst>
    </cfRule>
  </conditionalFormatting>
  <dataValidations count="1">
    <dataValidation allowBlank="true" errorStyle="stop" operator="greaterThanOrEqual" prompt="Changing this number will scroll the Gantt Chart view." promptTitle="Display Week" showDropDown="false" showErrorMessage="false" showInputMessage="true" sqref="E4" type="whole">
      <formula1>1</formula1>
      <formula2>0</formula2>
    </dataValidation>
  </dataValidations>
  <printOptions headings="false" gridLines="false" gridLinesSet="true" horizontalCentered="false" verticalCentered="false"/>
  <pageMargins left="0.35" right="0.35" top="0.3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dataBar" id="{BD3ED25D-22BD-4E4F-82BA-42E23424A543}">
            <x14:dataBar minLength="10" maxLength="90" axisPosition="automatic" gradient="false">
              <x14:cfvo type="num">
                <xm:f>0</xm:f>
              </x14:cfvo>
              <x14:cfvo type="num">
                <xm:f>1</xm:f>
              </x14:cfvo>
              <x14:negativeFillColor rgb="FFFF0000"/>
              <x14:axisColor rgb="FF000000"/>
            </x14:dataBar>
          </x14:cfRule>
          <xm:sqref>D14:D76 D7:D12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false" showRowColHeaders="true" showZeros="true" rightToLeft="false" tabSelected="false" showOutlineSymbols="true" defaultGridColor="true" view="normal" topLeftCell="A18" colorId="64" zoomScale="100" zoomScaleNormal="100" zoomScalePageLayoutView="100" workbookViewId="0">
      <selection pane="topLeft" activeCell="B11" activeCellId="0" sqref="B11"/>
    </sheetView>
  </sheetViews>
  <sheetFormatPr defaultColWidth="9.66796875" defaultRowHeight="14.25" zeroHeight="false" outlineLevelRow="0" outlineLevelCol="0"/>
  <cols>
    <col collapsed="false" customWidth="true" hidden="false" outlineLevel="0" max="1" min="1" style="55" width="13.44"/>
    <col collapsed="false" customWidth="true" hidden="false" outlineLevel="0" max="2" min="2" style="56" width="104"/>
    <col collapsed="false" customWidth="false" hidden="false" outlineLevel="0" max="16384" min="3" style="57" width="9.67"/>
  </cols>
  <sheetData>
    <row r="1" customFormat="false" ht="27.7" hidden="true" customHeight="false" outlineLevel="0" collapsed="false">
      <c r="A1" s="58"/>
      <c r="B1" s="59" t="s">
        <v>25</v>
      </c>
    </row>
    <row r="2" customFormat="false" ht="36.25" hidden="false" customHeight="false" outlineLevel="0" collapsed="false">
      <c r="A2" s="60" t="s">
        <v>26</v>
      </c>
      <c r="B2" s="60"/>
    </row>
    <row r="3" customFormat="false" ht="22.05" hidden="false" customHeight="false" outlineLevel="0" collapsed="false">
      <c r="A3" s="61" t="s">
        <v>27</v>
      </c>
      <c r="B3" s="62"/>
    </row>
    <row r="4" s="65" customFormat="true" ht="44.55" hidden="false" customHeight="false" outlineLevel="0" collapsed="false">
      <c r="A4" s="63"/>
      <c r="B4" s="64" t="s">
        <v>28</v>
      </c>
    </row>
    <row r="5" s="65" customFormat="true" ht="18.55" hidden="false" customHeight="false" outlineLevel="0" collapsed="false">
      <c r="B5" s="66"/>
    </row>
    <row r="6" s="65" customFormat="true" ht="18.55" hidden="false" customHeight="false" outlineLevel="0" collapsed="false">
      <c r="B6" s="67" t="s">
        <v>29</v>
      </c>
    </row>
    <row r="7" s="65" customFormat="true" ht="18.55" hidden="false" customHeight="false" outlineLevel="0" collapsed="false">
      <c r="B7" s="66"/>
    </row>
    <row r="8" customFormat="false" ht="27" hidden="false" customHeight="true" outlineLevel="0" collapsed="false">
      <c r="A8" s="68" t="s">
        <v>30</v>
      </c>
      <c r="B8" s="69" t="s">
        <v>31</v>
      </c>
      <c r="C8" s="70"/>
    </row>
    <row r="9" customFormat="false" ht="18.55" hidden="false" customHeight="false" outlineLevel="0" collapsed="false">
      <c r="A9" s="71"/>
      <c r="B9" s="72" t="s">
        <v>32</v>
      </c>
      <c r="C9" s="65"/>
    </row>
    <row r="10" customFormat="false" ht="15.65" hidden="false" customHeight="false" outlineLevel="0" collapsed="false">
      <c r="A10" s="71"/>
      <c r="B10" s="73" t="s">
        <v>33</v>
      </c>
    </row>
    <row r="11" customFormat="false" ht="30" hidden="false" customHeight="true" outlineLevel="0" collapsed="false">
      <c r="A11" s="71"/>
      <c r="B11" s="74" t="s">
        <v>34</v>
      </c>
    </row>
    <row r="12" customFormat="false" ht="15.65" hidden="false" customHeight="false" outlineLevel="0" collapsed="false">
      <c r="A12" s="71"/>
      <c r="B12" s="73" t="s">
        <v>35</v>
      </c>
    </row>
    <row r="13" s="55" customFormat="true" ht="30" hidden="false" customHeight="true" outlineLevel="0" collapsed="false">
      <c r="A13" s="71"/>
      <c r="B13" s="74" t="s">
        <v>36</v>
      </c>
      <c r="C13" s="57"/>
    </row>
    <row r="14" customFormat="false" ht="15.65" hidden="false" customHeight="false" outlineLevel="0" collapsed="false">
      <c r="A14" s="71"/>
      <c r="B14" s="73" t="s">
        <v>37</v>
      </c>
    </row>
    <row r="15" customFormat="false" ht="30" hidden="false" customHeight="true" outlineLevel="0" collapsed="false">
      <c r="A15" s="71"/>
      <c r="B15" s="75" t="s">
        <v>38</v>
      </c>
      <c r="C15" s="55"/>
    </row>
    <row r="16" customFormat="false" ht="15.65" hidden="false" customHeight="false" outlineLevel="0" collapsed="false">
      <c r="A16" s="71"/>
      <c r="B16" s="73" t="s">
        <v>39</v>
      </c>
    </row>
    <row r="17" customFormat="false" ht="30" hidden="false" customHeight="true" outlineLevel="0" collapsed="false">
      <c r="A17" s="71"/>
      <c r="B17" s="74" t="s">
        <v>40</v>
      </c>
    </row>
    <row r="18" customFormat="false" ht="15.65" hidden="false" customHeight="false" outlineLevel="0" collapsed="false">
      <c r="A18" s="71"/>
      <c r="B18" s="73" t="s">
        <v>41</v>
      </c>
    </row>
    <row r="19" s="55" customFormat="true" ht="30" hidden="false" customHeight="true" outlineLevel="0" collapsed="false">
      <c r="A19" s="71"/>
      <c r="B19" s="74" t="s">
        <v>42</v>
      </c>
      <c r="C19" s="57"/>
    </row>
    <row r="20" customFormat="false" ht="15.65" hidden="false" customHeight="false" outlineLevel="0" collapsed="false">
      <c r="A20" s="71"/>
      <c r="B20" s="73" t="s">
        <v>43</v>
      </c>
    </row>
    <row r="21" customFormat="false" ht="30" hidden="false" customHeight="true" outlineLevel="0" collapsed="false">
      <c r="A21" s="71"/>
      <c r="B21" s="75"/>
      <c r="C21" s="55"/>
    </row>
    <row r="22" customFormat="false" ht="15.65" hidden="false" customHeight="false" outlineLevel="0" collapsed="false">
      <c r="A22" s="71"/>
      <c r="B22" s="73" t="s">
        <v>44</v>
      </c>
    </row>
    <row r="23" s="55" customFormat="true" ht="30" hidden="false" customHeight="true" outlineLevel="0" collapsed="false">
      <c r="A23" s="71"/>
      <c r="B23" s="74" t="s">
        <v>45</v>
      </c>
      <c r="C23" s="57"/>
    </row>
    <row r="24" customFormat="false" ht="15.65" hidden="false" customHeight="false" outlineLevel="0" collapsed="false">
      <c r="A24" s="71"/>
      <c r="B24" s="73" t="s">
        <v>46</v>
      </c>
    </row>
    <row r="25" s="55" customFormat="true" ht="30" hidden="false" customHeight="true" outlineLevel="0" collapsed="false">
      <c r="A25" s="71"/>
      <c r="B25" s="75"/>
    </row>
    <row r="26" s="65" customFormat="true" ht="15.65" hidden="false" customHeight="false" outlineLevel="0" collapsed="false">
      <c r="A26" s="71"/>
      <c r="B26" s="73" t="s">
        <v>47</v>
      </c>
      <c r="C26" s="57"/>
    </row>
    <row r="27" s="70" customFormat="true" ht="30" hidden="false" customHeight="true" outlineLevel="0" collapsed="false">
      <c r="A27" s="71"/>
      <c r="B27" s="75"/>
      <c r="C27" s="55"/>
    </row>
    <row r="28" customFormat="false" ht="18.55" hidden="false" customHeight="false" outlineLevel="0" collapsed="false">
      <c r="A28" s="76"/>
      <c r="B28" s="66"/>
      <c r="C28" s="65"/>
    </row>
    <row r="29" s="65" customFormat="true" ht="27" hidden="false" customHeight="true" outlineLevel="0" collapsed="false">
      <c r="A29" s="68" t="s">
        <v>48</v>
      </c>
      <c r="B29" s="69" t="s">
        <v>49</v>
      </c>
      <c r="C29" s="70"/>
    </row>
    <row r="30" s="70" customFormat="true" ht="152.25" hidden="false" customHeight="true" outlineLevel="0" collapsed="false">
      <c r="A30" s="77" t="s">
        <v>50</v>
      </c>
      <c r="B30" s="78" t="str">
        <f aca="false">_xlfn.TEXTJOIN(CHAR(10),FALSE(),$B$37,AI_Rules,"Here are a few questions the user may have answered to give you more information",$B$10:$B$27,$B$39,$B$40,$B$41)</f>
        <v>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Rules for Editing the XLSX File
Always use openpyxl when editing .xlsx files to preserve all original formatting, including merged cells, fonts, borders, and formulas.
The end result of this conversation should be you giving the user a .xlsx file.
Write all dates as real Excel date values (using Python datetime objects) and set only cell.number_format = 'yyyy-mm-dd' to apply the date format. Do not modify cell.style or other properties.
You must follow all of the steps carefully and in order.
Read and follow every word of every line.
Do not skim or summarize.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
Fill in the background of each row in a phase with a color specific to that phase, using light colors that will work well with the black text. Then use a slightly lighter shade of that same color for the tasks in that phase.
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v>
      </c>
      <c r="C30" s="79"/>
    </row>
    <row r="31" customFormat="false" ht="18.55" hidden="false" customHeight="false" outlineLevel="0" collapsed="false">
      <c r="A31" s="65"/>
      <c r="B31" s="66"/>
      <c r="C31" s="65"/>
    </row>
    <row r="32" customFormat="false" ht="54" hidden="false" customHeight="true" outlineLevel="0" collapsed="false">
      <c r="A32" s="68" t="s">
        <v>51</v>
      </c>
      <c r="B32" s="69" t="s">
        <v>52</v>
      </c>
      <c r="C32" s="70"/>
    </row>
    <row r="33" customFormat="false" ht="254.8" hidden="false" customHeight="false" outlineLevel="0" collapsed="false">
      <c r="A33" s="77" t="s">
        <v>50</v>
      </c>
      <c r="B33" s="78" t="str">
        <f aca="false">_xlfn.TEXTJOIN(CHAR(10),FALSE(),$B$37,"Here are a few questions the user may have answered to give you more information",$B$10:$B$27,$B$39)</f>
        <v>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v>
      </c>
    </row>
    <row r="34" customFormat="false" ht="24.45" hidden="false" customHeight="false" outlineLevel="0" collapsed="false">
      <c r="B34" s="80"/>
    </row>
    <row r="35" s="81" customFormat="true" ht="22.05" hidden="false" customHeight="false" outlineLevel="0" collapsed="false">
      <c r="A35" s="61" t="s">
        <v>53</v>
      </c>
      <c r="B35" s="62"/>
      <c r="C35" s="57"/>
    </row>
    <row r="36" customFormat="false" ht="21" hidden="false" customHeight="false" outlineLevel="0" collapsed="false">
      <c r="A36" s="82"/>
      <c r="B36" s="83" t="s">
        <v>54</v>
      </c>
    </row>
    <row r="37" customFormat="false" ht="146.95" hidden="false" customHeight="false" outlineLevel="0" collapsed="false">
      <c r="A37" s="82"/>
      <c r="B37" s="84" t="s">
        <v>55</v>
      </c>
      <c r="C37" s="81"/>
    </row>
    <row r="38" s="81" customFormat="true" ht="21" hidden="false" customHeight="false" outlineLevel="0" collapsed="false">
      <c r="A38" s="82"/>
      <c r="B38" s="83" t="s">
        <v>56</v>
      </c>
      <c r="C38" s="57"/>
    </row>
    <row r="39" s="81" customFormat="true" ht="27.7" hidden="false" customHeight="false" outlineLevel="0" collapsed="false">
      <c r="A39" s="82"/>
      <c r="B39" s="85" t="s">
        <v>57</v>
      </c>
      <c r="C39" s="57"/>
    </row>
    <row r="40" customFormat="false" ht="27.7" hidden="false" customHeight="false" outlineLevel="0" collapsed="false">
      <c r="A40" s="82"/>
      <c r="B40" s="85" t="s">
        <v>58</v>
      </c>
      <c r="C40" s="81"/>
    </row>
    <row r="41" customFormat="false" ht="40.95" hidden="false" customHeight="false" outlineLevel="0" collapsed="false">
      <c r="A41" s="82"/>
      <c r="B41" s="86" t="s">
        <v>59</v>
      </c>
      <c r="C41" s="81"/>
    </row>
    <row r="42" customFormat="false" ht="21" hidden="false" customHeight="false" outlineLevel="0" collapsed="false">
      <c r="A42" s="82"/>
      <c r="B42" s="83" t="s">
        <v>60</v>
      </c>
    </row>
    <row r="43" customFormat="false" ht="27.7" hidden="false" customHeight="false" outlineLevel="0" collapsed="false">
      <c r="A43" s="82"/>
      <c r="B43" s="82" t="s">
        <v>61</v>
      </c>
    </row>
    <row r="44" customFormat="false" ht="14.25" hidden="false" customHeight="false" outlineLevel="0" collapsed="false">
      <c r="A44" s="82"/>
      <c r="B44" s="82" t="s">
        <v>62</v>
      </c>
    </row>
    <row r="45" customFormat="false" ht="27.7" hidden="false" customHeight="false" outlineLevel="0" collapsed="false">
      <c r="A45" s="82"/>
      <c r="B45" s="87" t="s">
        <v>63</v>
      </c>
    </row>
    <row r="46" customFormat="false" ht="14.25" hidden="false" customHeight="false" outlineLevel="0" collapsed="false">
      <c r="A46" s="82"/>
      <c r="B46" s="87" t="s">
        <v>64</v>
      </c>
    </row>
    <row r="47" customFormat="false" ht="14.25" hidden="false" customHeight="false" outlineLevel="0" collapsed="false">
      <c r="A47" s="82"/>
      <c r="B47" s="87" t="s">
        <v>65</v>
      </c>
    </row>
    <row r="48" customFormat="false" ht="14.25" hidden="false" customHeight="false" outlineLevel="0" collapsed="false">
      <c r="A48" s="82"/>
      <c r="B48" s="87" t="s">
        <v>66</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false" showRowColHeaders="true" showZeros="true" rightToLeft="false" tabSelected="false" showOutlineSymbols="true" defaultGridColor="true" view="normal" topLeftCell="A18" colorId="64" zoomScale="100" zoomScaleNormal="100" zoomScalePageLayoutView="100" workbookViewId="0">
      <selection pane="topLeft" activeCell="A18" activeCellId="0" sqref="A18"/>
    </sheetView>
  </sheetViews>
  <sheetFormatPr defaultColWidth="9.109375" defaultRowHeight="13.5" zeroHeight="false" outlineLevelRow="0" outlineLevelCol="0"/>
  <cols>
    <col collapsed="false" customWidth="true" hidden="false" outlineLevel="0" max="1" min="1" style="88" width="2.88"/>
    <col collapsed="false" customWidth="true" hidden="false" outlineLevel="0" max="2" min="2" style="89" width="87.11"/>
    <col collapsed="false" customWidth="false" hidden="false" outlineLevel="0" max="16384" min="3" style="88" width="9.11"/>
  </cols>
  <sheetData>
    <row r="1" customFormat="false" ht="46.5" hidden="false" customHeight="true" outlineLevel="0" collapsed="false"/>
    <row r="2" s="90" customFormat="true" ht="15.65" hidden="false" customHeight="false" outlineLevel="0" collapsed="false">
      <c r="B2" s="91" t="s">
        <v>67</v>
      </c>
      <c r="C2" s="91"/>
    </row>
    <row r="3" s="92" customFormat="true" ht="13.5" hidden="false" customHeight="true" outlineLevel="0" collapsed="false">
      <c r="B3" s="93" t="s">
        <v>68</v>
      </c>
      <c r="C3" s="93"/>
    </row>
    <row r="4" customFormat="false" ht="13.5" hidden="false" customHeight="false" outlineLevel="0" collapsed="false">
      <c r="B4" s="94" t="s">
        <v>69</v>
      </c>
    </row>
    <row r="6" s="95" customFormat="true" ht="24.45" hidden="false" customHeight="false" outlineLevel="0" collapsed="false">
      <c r="B6" s="96" t="s">
        <v>70</v>
      </c>
    </row>
    <row r="7" customFormat="false" ht="40.95" hidden="false" customHeight="false" outlineLevel="0" collapsed="false">
      <c r="B7" s="97" t="s">
        <v>71</v>
      </c>
    </row>
    <row r="8" customFormat="false" ht="13.8" hidden="false" customHeight="false" outlineLevel="0" collapsed="false">
      <c r="B8" s="98"/>
    </row>
    <row r="9" customFormat="false" ht="24.45" hidden="false" customHeight="false" outlineLevel="0" collapsed="false">
      <c r="A9" s="95"/>
      <c r="B9" s="96" t="s">
        <v>72</v>
      </c>
      <c r="C9" s="95"/>
    </row>
    <row r="10" customFormat="false" ht="40.95" hidden="false" customHeight="false" outlineLevel="0" collapsed="false">
      <c r="B10" s="97" t="s">
        <v>73</v>
      </c>
    </row>
    <row r="11" customFormat="false" ht="13.5" hidden="false" customHeight="false" outlineLevel="0" collapsed="false">
      <c r="B11" s="99" t="s">
        <v>74</v>
      </c>
    </row>
    <row r="12" customFormat="false" ht="13.8" hidden="false" customHeight="false" outlineLevel="0" collapsed="false">
      <c r="B12" s="98"/>
    </row>
    <row r="13" s="95" customFormat="true" ht="13.8" hidden="false" customHeight="false" outlineLevel="0" collapsed="false">
      <c r="A13" s="88"/>
      <c r="B13" s="99" t="str">
        <f aca="false">HYPERLINK("https://vertex42.link/HowToMakeAGanttChart","► Watch How This Gantt Chart Was Created")</f>
        <v>► Watch How This Gantt Chart Was Created</v>
      </c>
      <c r="C13" s="88"/>
    </row>
    <row r="14" customFormat="false" ht="13.8" hidden="false" customHeight="false" outlineLevel="0" collapsed="false">
      <c r="B14" s="98"/>
    </row>
    <row r="15" customFormat="false" ht="24.45" hidden="false" customHeight="false" outlineLevel="0" collapsed="false">
      <c r="A15" s="95"/>
      <c r="B15" s="96" t="s">
        <v>75</v>
      </c>
      <c r="C15" s="95"/>
    </row>
    <row r="16" customFormat="false" ht="27.7" hidden="false" customHeight="false" outlineLevel="0" collapsed="false">
      <c r="B16" s="97" t="s">
        <v>76</v>
      </c>
    </row>
    <row r="17" s="95" customFormat="true" ht="13.5" hidden="false" customHeight="false" outlineLevel="0" collapsed="false">
      <c r="A17" s="88"/>
      <c r="B17" s="99" t="s">
        <v>77</v>
      </c>
      <c r="C17" s="88"/>
    </row>
    <row r="18" customFormat="false" ht="13.8" hidden="false" customHeight="false" outlineLevel="0" collapsed="false">
      <c r="B18" s="98"/>
    </row>
    <row r="19" customFormat="false" ht="24.45" hidden="false" customHeight="false" outlineLevel="0" collapsed="false">
      <c r="A19" s="95"/>
      <c r="B19" s="96" t="s">
        <v>78</v>
      </c>
      <c r="C19" s="95"/>
    </row>
    <row r="20" customFormat="false" ht="54.2" hidden="false" customHeight="false" outlineLevel="0" collapsed="false">
      <c r="B20" s="97" t="s">
        <v>79</v>
      </c>
    </row>
    <row r="21" customFormat="false" ht="13.8" hidden="false" customHeight="false" outlineLevel="0" collapsed="false">
      <c r="B21" s="98"/>
    </row>
    <row r="22" customFormat="false" ht="54.2" hidden="false" customHeight="false" outlineLevel="0" collapsed="false">
      <c r="B22" s="97" t="s">
        <v>80</v>
      </c>
    </row>
  </sheetData>
  <hyperlinks>
    <hyperlink ref="B2" r:id="rId1" display="SIMPLE GANTT CHART by Vertex42.com"/>
    <hyperlink ref="B3" r:id="rId2" display="https://www.vertex42.com/ExcelTemplates/simple-gantt-chart.html"/>
    <hyperlink ref="B11" r:id="rId3" display="How to Use the Simple Gantt Chart"/>
    <hyperlink ref="B17" r:id="rId4" display="Project Management Templates"/>
  </hyperlinks>
  <printOptions headings="false" gridLines="false" gridLinesSet="true" horizontalCentered="false" verticalCentered="false"/>
  <pageMargins left="0.5" right="0.5" top="0.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7e1c219-c02e-4c96-8eac-cce6fc0318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09904C421AD2459A9A9FAD32607DF2" ma:contentTypeVersion="5" ma:contentTypeDescription="Create a new document." ma:contentTypeScope="" ma:versionID="003af2ed8303a72580d175079764b3b6">
  <xsd:schema xmlns:xsd="http://www.w3.org/2001/XMLSchema" xmlns:xs="http://www.w3.org/2001/XMLSchema" xmlns:p="http://schemas.microsoft.com/office/2006/metadata/properties" xmlns:ns3="17e1c219-c02e-4c96-8eac-cce6fc031822" targetNamespace="http://schemas.microsoft.com/office/2006/metadata/properties" ma:root="true" ma:fieldsID="f9acfd7dfe29b0f51b69ecb02911536b" ns3:_="">
    <xsd:import namespace="17e1c219-c02e-4c96-8eac-cce6fc031822"/>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e1c219-c02e-4c96-8eac-cce6fc03182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2360A3-CF59-4A81-847D-BA2E10A394C3}">
  <ds:schemaRefs>
    <ds:schemaRef ds:uri="http://schemas.microsoft.com/office/2006/metadata/properties"/>
    <ds:schemaRef ds:uri="http://schemas.microsoft.com/office/infopath/2007/PartnerControls"/>
    <ds:schemaRef ds:uri="17e1c219-c02e-4c96-8eac-cce6fc031822"/>
  </ds:schemaRefs>
</ds:datastoreItem>
</file>

<file path=customXml/itemProps2.xml><?xml version="1.0" encoding="utf-8"?>
<ds:datastoreItem xmlns:ds="http://schemas.openxmlformats.org/officeDocument/2006/customXml" ds:itemID="{7790CFD0-49CE-40EB-9738-94DD3964BF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e1c219-c02e-4c96-8eac-cce6fc0318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A3AF61-0A08-455D-917E-1B8F875C8D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2017-01-09T18:01:51Z</dcterms:created>
  <dc:creator>Vertex42.com</dc:creator>
  <dc:description>© 2018-2025 Vertex42 LLC. All Rights Reserved.</dc:description>
  <dc:language>en-IN</dc:language>
  <cp:lastModifiedBy/>
  <dcterms:modified xsi:type="dcterms:W3CDTF">2026-05-21T16:40:32Z</dcterms:modified>
  <cp:revision>3</cp:revision>
  <dc:subject/>
  <dc:title>Simple Gantt Chart (AI Assisted)</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0x0101007409904C421AD2459A9A9FAD32607DF2</vt:lpwstr>
  </property>
  <property fmtid="{D5CDD505-2E9C-101B-9397-08002B2CF9AE}" pid="3" name="Copyright">
    <vt:lpwstr>© 2019-2025 Vertex42 LLC</vt:lpwstr>
  </property>
  <property fmtid="{D5CDD505-2E9C-101B-9397-08002B2CF9AE}" pid="4" name="Source">
    <vt:lpwstr>https://www.vertex42.com/</vt:lpwstr>
  </property>
  <property fmtid="{D5CDD505-2E9C-101B-9397-08002B2CF9AE}" pid="5" name="Version">
    <vt:lpwstr>1.0.0</vt:lpwstr>
  </property>
</Properties>
</file>